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ADME" sheetId="1"/>
    <sheet r:id="rId2" name="Branch_Monthly_Data" sheetId="2"/>
    <sheet r:id="rId3" name="Model_Assumptions" sheetId="3"/>
    <sheet r:id="rId4" name="Scenario_Assumptions" sheetId="4"/>
    <sheet r:id="rId5" name="Financial_Model_Live_Build" sheetId="5"/>
    <sheet r:id="rId6" name="Financial_Model" sheetId="6"/>
    <sheet r:id="rId7" name="Monte_Carlo_Inputs" sheetId="7"/>
    <sheet r:id="rId8" name="Monte_Carlo_Trials" sheetId="8"/>
    <sheet r:id="rId9" name="Monte_Carlo_Live_Build" sheetId="9"/>
    <sheet r:id="rId10" name="Monte_Carlo_Summary" sheetId="10"/>
    <sheet r:id="rId11" name="Copilot_Prompt_Library" sheetId="11"/>
    <sheet r:id="rId12" name="Branch_Summary" sheetId="12"/>
    <sheet r:id="rId13" name="Agent_Workflow_Blueprint" sheetId="13"/>
  </sheets>
  <calcPr calcId="0" iterateCount="100" iterateDelta="0.001"/>
</workbook>
</file>

<file path=xl/sharedStrings.xml><?xml version="1.0" encoding="utf-8"?>
<sst xmlns="http://schemas.openxmlformats.org/spreadsheetml/2006/main" count="194" uniqueCount="194">
  <si>
    <t>Section</t>
  </si>
  <si>
    <t>Details</t>
  </si>
  <si>
    <t>Purpose</t>
  </si>
  <si>
    <t>This workbook supports a BankUnited master class on AI-assisted data analytics in Excel.</t>
  </si>
  <si>
    <t>Important Data Notice</t>
  </si>
  <si>
    <t>All data is synthetic training data created for demonstration only. It does not contain BankUnited customer, employee, account, or proprietary data.</t>
  </si>
  <si>
    <t>Demo 1</t>
  </si>
  <si>
    <t>Build an AI-assisted financial model for an analytics enablement initiative using assumptions, scenarios, and branch context.</t>
  </si>
  <si>
    <t>Demo 2</t>
  </si>
  <si>
    <t>Run and explain a Monte Carlo analysis to show the range of possible business outcomes rather than pretending one forecast is certain.</t>
  </si>
  <si>
    <t>How to Use with Copilot in Excel</t>
  </si>
  <si>
    <t>Save this workbook to OneDrive or SharePoint with AutoSave on, open it in Excel, and use Copilot from the Home tab against the provided tables.</t>
  </si>
  <si>
    <t>Responsible Use</t>
  </si>
  <si>
    <t>Copilot output must be reviewed, verified, and interpreted by people, especially in banking contexts involving risk, compliance, customers, or capital decisions.</t>
  </si>
  <si>
    <t>Financial_Model_Live_Build</t>
  </si>
  <si>
    <t>Blank live-build model table for Demo 1. Use Copilot to create formulas and summaries from assumptions.</t>
  </si>
  <si>
    <t>Monte_Carlo_Live_Build</t>
  </si>
  <si>
    <t>Blank live-build simulation table for Demo 2. Use Copilot to create/randomize trials and summarize risk.</t>
  </si>
  <si>
    <t>Agent_Workflow_Blueprint</t>
  </si>
  <si>
    <t>Template for turning the spreadsheet process into a repeatable, shareable human-supervised agent workflow.</t>
  </si>
  <si>
    <t>Month</t>
  </si>
  <si>
    <t>Branch</t>
  </si>
  <si>
    <t>Market</t>
  </si>
  <si>
    <t>Primary Segment</t>
  </si>
  <si>
    <t>Customer Accounts</t>
  </si>
  <si>
    <t>New Accounts</t>
  </si>
  <si>
    <t>Average Deposits</t>
  </si>
  <si>
    <t>Average Loans</t>
  </si>
  <si>
    <t>Loan Yield</t>
  </si>
  <si>
    <t>Cost of Funds</t>
  </si>
  <si>
    <t>Fee Income</t>
  </si>
  <si>
    <t>Operating Expense</t>
  </si>
  <si>
    <t>Credit Loss Provision</t>
  </si>
  <si>
    <t>Digital Adoption Rate</t>
  </si>
  <si>
    <t>NIM Dollars</t>
  </si>
  <si>
    <t>Monthly Contribution Profit</t>
  </si>
  <si>
    <t>Miami Lakes</t>
  </si>
  <si>
    <t>Miami-Dade</t>
  </si>
  <si>
    <t>Retail Banking</t>
  </si>
  <si>
    <t>Coral Gables</t>
  </si>
  <si>
    <t>Commercial Banking</t>
  </si>
  <si>
    <t>Doral</t>
  </si>
  <si>
    <t>Small Business Banking</t>
  </si>
  <si>
    <t>Fort Lauderdale</t>
  </si>
  <si>
    <t>Broward</t>
  </si>
  <si>
    <t>West Palm Beach</t>
  </si>
  <si>
    <t>Palm Beach</t>
  </si>
  <si>
    <t>Tampa</t>
  </si>
  <si>
    <t>Hillsborough</t>
  </si>
  <si>
    <t>Orlando</t>
  </si>
  <si>
    <t>Orange</t>
  </si>
  <si>
    <t>Naples</t>
  </si>
  <si>
    <t>Collier</t>
  </si>
  <si>
    <t>Private Banking</t>
  </si>
  <si>
    <t>Input</t>
  </si>
  <si>
    <t>Value</t>
  </si>
  <si>
    <t>Plain English Meaning</t>
  </si>
  <si>
    <t>Initial analytics enablement investment</t>
  </si>
  <si>
    <t>One-time training, governance, templates, data preparation, and adoption investment.</t>
  </si>
  <si>
    <t>Monthly incremental analyst capacity value</t>
  </si>
  <si>
    <t>Estimated monthly value from time saved by relationship managers, analysts, and operations staff.</t>
  </si>
  <si>
    <t>Base monthly operating benefit</t>
  </si>
  <si>
    <t>Base month one benefit from faster analysis, better exception detection, and improved decision support.</t>
  </si>
  <si>
    <t>Annual benefit growth rate</t>
  </si>
  <si>
    <t>Expected compounding improvement as more teams reuse the model and prompt patterns.</t>
  </si>
  <si>
    <t>Implementation operating cost per month</t>
  </si>
  <si>
    <t>Ongoing cost for stewardship, refresh cycles, coaching, controls, and model maintenance.</t>
  </si>
  <si>
    <t>Discount rate</t>
  </si>
  <si>
    <t>Bank hurdle rate used for discounting future benefits.</t>
  </si>
  <si>
    <t>Planning horizon in months</t>
  </si>
  <si>
    <t>Three-year planning view.</t>
  </si>
  <si>
    <t>Base case probability of success</t>
  </si>
  <si>
    <t>Probability that the base case adoption plan reaches expected utilization.</t>
  </si>
  <si>
    <t>Upside case probability of success</t>
  </si>
  <si>
    <t>Probability assumption for accelerated adoption and strong executive sponsorship.</t>
  </si>
  <si>
    <t>Downside case probability of success</t>
  </si>
  <si>
    <t>Probability assumption for stalled adoption or low workflow integration.</t>
  </si>
  <si>
    <t>Scenario</t>
  </si>
  <si>
    <t>Adoption Rate</t>
  </si>
  <si>
    <t>Benefit Multiplier</t>
  </si>
  <si>
    <t>Cost Multiplier</t>
  </si>
  <si>
    <t>Risk Adjustment</t>
  </si>
  <si>
    <t>Narrative</t>
  </si>
  <si>
    <t>Downside</t>
  </si>
  <si>
    <t>Low adoption, limited manager follow-through, and manual processes remain dominant.</t>
  </si>
  <si>
    <t>Base</t>
  </si>
  <si>
    <t>Steady rollout with coached use cases, repeatable templates, and manager reinforcement.</t>
  </si>
  <si>
    <t>Upside</t>
  </si>
  <si>
    <t>High adoption with reusable models, strong governance, and visible leadership sponsorship.</t>
  </si>
  <si>
    <t>LIVE BUILD SHEET: Financial Model</t>
  </si>
  <si>
    <t>Purpose: Start here during the demo. Copilot should help create the formulas, summaries, charts, and verification checks. The finished Financial_Model sheet remains only as an answer key/reset option.</t>
  </si>
  <si>
    <t>Presenter note: Ask Copilot to build the model from Model_Assumptions and Scenario_Assumptions; do not begin by opening the finished Financial_Model sheet.</t>
  </si>
  <si>
    <t>Month Number</t>
  </si>
  <si>
    <t>Gross Benefit</t>
  </si>
  <si>
    <t>Risk-Adjusted Benefit</t>
  </si>
  <si>
    <t>Operating Cost</t>
  </si>
  <si>
    <t>Net Monthly Benefit</t>
  </si>
  <si>
    <t>Cumulative Net Benefit</t>
  </si>
  <si>
    <t>Discount Factor</t>
  </si>
  <si>
    <t>Present Value</t>
  </si>
  <si>
    <t>Formula Verification Note</t>
  </si>
  <si>
    <t>Variable</t>
  </si>
  <si>
    <t>Distribution</t>
  </si>
  <si>
    <t>Low / Mean</t>
  </si>
  <si>
    <t>Most Likely / StDev</t>
  </si>
  <si>
    <t>High</t>
  </si>
  <si>
    <t>Why It Matters</t>
  </si>
  <si>
    <t>Triangular</t>
  </si>
  <si>
    <t>Adoption is the largest driver because a tool creates no value until people use it in workflows.</t>
  </si>
  <si>
    <t>Normal</t>
  </si>
  <si>
    <t>Benefit uncertainty captures variance in time savings, error reduction, and faster insight generation.</t>
  </si>
  <si>
    <t>Monthly Cost</t>
  </si>
  <si>
    <t>Cost uncertainty captures coaching, governance, stewardship, and maintenance needs.</t>
  </si>
  <si>
    <t>Risk adjustment reflects data quality, review discipline, model governance, and control effectiveness.</t>
  </si>
  <si>
    <t>Annual Growth Rate</t>
  </si>
  <si>
    <t>Growth reflects learning curve and reuse of models across teams.</t>
  </si>
  <si>
    <t>Discount Rate</t>
  </si>
  <si>
    <t>Fixed</t>
  </si>
  <si>
    <t>Discount rate converts future benefits into today’s dollars.</t>
  </si>
  <si>
    <t>Initial Investment</t>
  </si>
  <si>
    <t>Initial investment is the starting cost of enablement and implementation.</t>
  </si>
  <si>
    <t>Trial</t>
  </si>
  <si>
    <t>36-Month NPV</t>
  </si>
  <si>
    <t>36-Month Cumulative Benefit</t>
  </si>
  <si>
    <t>Break-Even Outcome</t>
  </si>
  <si>
    <t>Break Even</t>
  </si>
  <si>
    <t>LIVE BUILD SHEET: Monte Carlo Simulation</t>
  </si>
  <si>
    <t>Purpose: Start here during the demo. Copilot should help create or explain trial formulas, calculate simulated outcomes, summarize probabilities, and build the risk visualization. The finished Monte_Carlo_Trials and Monte_Carlo_Summary sheets remain only as answer keys/reset options.</t>
  </si>
  <si>
    <t>Presenter note: Build the simulation from Monte_Carlo_Inputs. The point is to construct uncertainty, not merely talk to completed outputs.</t>
  </si>
  <si>
    <t>Verification Note</t>
  </si>
  <si>
    <t>Metric</t>
  </si>
  <si>
    <t>Mean NPV</t>
  </si>
  <si>
    <t>Median NPV</t>
  </si>
  <si>
    <t>10th Percentile NPV</t>
  </si>
  <si>
    <t>90th Percentile NPV</t>
  </si>
  <si>
    <t>Probability of Positive NPV</t>
  </si>
  <si>
    <t>Probability of Breaking Even</t>
  </si>
  <si>
    <t>Average Adoption Rate</t>
  </si>
  <si>
    <t>Average Risk Adjustment</t>
  </si>
  <si>
    <t>Demo</t>
  </si>
  <si>
    <t>Prompt to Use in Copilot in Excel</t>
  </si>
  <si>
    <t>Teaching Point</t>
  </si>
  <si>
    <t>Financial Model</t>
  </si>
  <si>
    <t>Look at the Financial_Model sheet. Explain the model structure in plain English for a bank executive.</t>
  </si>
  <si>
    <t>Copilot translates spreadsheet mechanics into executive language.</t>
  </si>
  <si>
    <t>Create a summary comparing Downside, Base, and Upside outcomes by cumulative net benefit and present value.</t>
  </si>
  <si>
    <t>Copilot can help turn rows of model output into an investment story.</t>
  </si>
  <si>
    <t>Add formulas that calculate cumulative net benefit, discount factor, and present value for each scenario.</t>
  </si>
  <si>
    <t>Copilot is strongest when used inside Excel because it can work with table structure and formulas.</t>
  </si>
  <si>
    <t>Create a chart showing net monthly benefit by month for each scenario.</t>
  </si>
  <si>
    <t>Copilot can accelerate visual analysis, but the presenter should verify the chart and labels.</t>
  </si>
  <si>
    <t>Monte Carlo</t>
  </si>
  <si>
    <t>Look at the Monte_Carlo_Trials sheet. Summarize the distribution of 36-month NPV in plain English.</t>
  </si>
  <si>
    <t>Monte Carlo is not one forecast; it is a range of futures.</t>
  </si>
  <si>
    <t>Create a histogram or chart that shows the risk profile of 36-month NPV.</t>
  </si>
  <si>
    <t>A distribution is more honest than a single-point estimate.</t>
  </si>
  <si>
    <t>Identify which assumptions appear most associated with positive NPV and explain the pattern.</t>
  </si>
  <si>
    <t>Sensitivity thinking helps bankers focus on the assumptions that matter.</t>
  </si>
  <si>
    <t>Create an executive summary: probability of positive NPV, downside risk, and what adoption rate we should protect.</t>
  </si>
  <si>
    <t>Risk framing turns analytics into decision support.</t>
  </si>
  <si>
    <t>Branch Analytics</t>
  </si>
  <si>
    <t>Analyze the Branch_Monthly_Data table. Which branches show strongest contribution profit and why?</t>
  </si>
  <si>
    <t>Bankers need performance insight, not just spreadsheet answers.</t>
  </si>
  <si>
    <t>Find outliers in branch monthly contribution profit and explain what a manager should investigate.</t>
  </si>
  <si>
    <t>Outlier detection is a practical control and coaching workflow.</t>
  </si>
  <si>
    <t>REPEATABLE AGENT BLUEPRINT: From One Spreadsheet Demo to Shared Team Workflow</t>
  </si>
  <si>
    <t>Purpose: Use this sheet to design a repeatable human-supervised agent pattern that can rerun the analysis, document the steps, and share the workflow with colleagues.</t>
  </si>
  <si>
    <t>Agent Component</t>
  </si>
  <si>
    <t>What to Document</t>
  </si>
  <si>
    <t>Example for This Master Class</t>
  </si>
  <si>
    <t>Trigger</t>
  </si>
  <si>
    <t>When should the workflow run or be reused?</t>
  </si>
  <si>
    <t>Monthly analytics enablement investment review or branch performance review.</t>
  </si>
  <si>
    <t>Inputs</t>
  </si>
  <si>
    <t>Which workbook, sheets, tables, and assumptions are required?</t>
  </si>
  <si>
    <t>Model_Assumptions, Scenario_Assumptions, Financial_Model_Live_Build, Monte_Carlo_Inputs, Monte_Carlo_Live_Build.</t>
  </si>
  <si>
    <t>Prompt Pattern</t>
  </si>
  <si>
    <t>What role, task, output, and verification language should be reused?</t>
  </si>
  <si>
    <t>Act as a banking finance/risk analyst. Build the model or simulation, explain formulas, summarize decision metrics, and list verification checks.</t>
  </si>
  <si>
    <t>Build Steps</t>
  </si>
  <si>
    <t>Which formulas, charts, summaries, and memo outputs must be created each time?</t>
  </si>
  <si>
    <t>Scenario model, risk-adjusted benefits, NPV, simulation trials, probability of positive NPV, downside-tail chart, executive memo.</t>
  </si>
  <si>
    <t>Verification Controls</t>
  </si>
  <si>
    <t>What must a human review before sharing?</t>
  </si>
  <si>
    <t>Formula references, assumptions, outliers, confidential data exposure, logic of recommendation, governance fit.</t>
  </si>
  <si>
    <t>Output Package</t>
  </si>
  <si>
    <t>What should the workflow produce for others?</t>
  </si>
  <si>
    <t>Updated workbook, executive summary, risk chart, assumption challenge table, saved prompt log.</t>
  </si>
  <si>
    <t>Owner and Review</t>
  </si>
  <si>
    <t>Who owns the workflow and who approves changes?</t>
  </si>
  <si>
    <t>Workflow owner, finance/risk reviewer, business line sponsor, compliance/governance contact as needed.</t>
  </si>
  <si>
    <t>Versioning</t>
  </si>
  <si>
    <t>How will changes be tracked?</t>
  </si>
  <si>
    <t>Save workbook version, prompt version, data refresh date, and verification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</si>
</sst>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282204" formatCode="YYYY-MM-DD HH:MM:SS"/>
    <numFmt numFmtId="282206" formatCode="$#,##0"/>
    <numFmt numFmtId="282207" formatCode="0.0%"/>
  </numFmts>
  <fonts count="12">
    <font>
      <b val="0"/>
      <i val="0"/>
      <sz val="11"/>
      <color theme="1"/>
      <name val="Calibri"/>
      <scheme val="minor"/>
    </font>
    <font>
      <b/>
      <i val="0"/>
      <color rgb="FFFFFFFF"/>
      <name val="Calibri"/>
    </font>
    <font>
      <b/>
      <i val="0"/>
      <color rgb="FF005EB8"/>
      <name val="Calibri"/>
    </font>
    <font>
      <b/>
      <i val="0"/>
      <sz val="14"/>
      <color rgb="FF005EB8"/>
      <name val="Calibri"/>
    </font>
    <font>
      <b/>
      <i val="0"/>
      <color rgb="FFFFFFFF"/>
      <name val="Calibri"/>
    </font>
    <font>
      <name val="Calibri"/>
      <scheme val="minor"/>
    </font>
    <font>
      <b/>
      <i val="0"/>
      <color rgb="FF005EB8"/>
      <name val="Calibri"/>
    </font>
    <font>
      <b/>
      <i val="0"/>
      <sz val="11"/>
      <color rgb="FFFFFFFF"/>
      <name val="Calibri"/>
    </font>
    <font>
      <b/>
      <i val="0"/>
      <sz val="11"/>
      <color rgb="FF005EB8"/>
      <name val="Calibri"/>
    </font>
    <font>
      <b/>
      <i val="0"/>
      <sz val="11"/>
      <color rgb="FFFFFFFF"/>
      <name val="calibri"/>
    </font>
    <font>
      <b val="0"/>
      <i val="0"/>
      <sz val="11"/>
      <color rgb="FF000000"/>
      <name val="Calibri"/>
      <scheme val="minor"/>
    </font>
    <font>
      <b/>
      <i val="0"/>
      <sz val="14"/>
      <color rgb="FF005EB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005EB8"/>
      </patternFill>
    </fill>
    <fill>
      <patternFill patternType="solid">
        <fgColor theme="4" tint="0.8"/>
      </patternFill>
    </fill>
    <fill>
      <patternFill patternType="solid">
        <fgColor theme="6" tint="0.8"/>
      </patternFill>
    </fill>
  </fills>
  <borders count="10">
    <border>
      <left/>
      <right/>
      <top/>
      <bottom/>
    </border>
    <border>
      <left/>
      <right/>
      <top/>
      <bottom/>
      <diagonal/>
    </border>
    <border>
      <bottom style="thin">
        <color rgb="FFD9E2E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 style="thin">
        <color rgb="FFD9E2E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4" tint="0.2"/>
      </left>
      <right/>
      <top style="thin">
        <color theme="4" tint="0.2"/>
      </top>
      <bottom style="thin">
        <color rgb="FFD9E2EC"/>
      </bottom>
      <diagonal/>
    </border>
    <border>
      <left/>
      <right/>
      <top style="thin">
        <color theme="4" tint="0.2"/>
      </top>
      <bottom style="thin">
        <color rgb="FFD9E2EC"/>
      </bottom>
      <diagonal/>
    </border>
    <border>
      <left/>
      <right style="thin">
        <color theme="4" tint="0.2"/>
      </right>
      <top style="thin">
        <color theme="4" tint="0.2"/>
      </top>
      <bottom style="thin">
        <color rgb="FFD9E2EC"/>
      </bottom>
      <diagonal/>
    </border>
    <border>
      <left style="thin">
        <color theme="6" tint="0.2"/>
      </left>
      <right/>
      <top style="thin">
        <color theme="6" tint="0.2"/>
      </top>
      <bottom style="thin">
        <color theme="6" tint="0.2"/>
      </bottom>
      <diagonal/>
    </border>
  </borders>
  <cellStyleXfs count="1">
    <xf numFmtId="0" fontId="0" fillId="0" borderId="1"/>
  </cellStyleXfs>
  <cellXfs count="39">
    <xf numFmtId="0" fontId="0" fillId="0" borderId="1" xfId="0"/>
    <xf numFmtId="0" fontId="0" fillId="0" borderId="1" xfId="0">
      <alignment horizontal="center" vertical="center"/>
    </xf>
    <xf numFmtId="0" fontId="7" fillId="2" borderId="4" xfId="0" quotePrefix="0">
      <alignment horizontal="center" vertical="center" wrapText="1"/>
    </xf>
    <xf numFmtId="0" fontId="0" fillId="0" borderId="4" xfId="0" quotePrefix="0">
      <alignment vertical="top" wrapText="1"/>
    </xf>
    <xf numFmtId="0" fontId="8" fillId="0" borderId="5" xfId="0" quotePrefix="0"/>
    <xf numFmtId="0" fontId="0" fillId="0" borderId="5" xfId="0" quotePrefix="0">
      <alignment vertical="bottom" wrapText="1"/>
    </xf>
    <xf numFmtId="0" fontId="9" fillId="2" borderId="6" xfId="0" quotePrefix="0">
      <alignment horizontal="center" vertical="center" wrapText="1"/>
    </xf>
    <xf numFmtId="0" fontId="10" fillId="5" borderId="6" xfId="0" quotePrefix="0">
      <alignment vertical="top" wrapText="1"/>
    </xf>
    <xf numFmtId="0" fontId="10" fillId="0" borderId="6" xfId="0" quotePrefix="0">
      <alignment vertical="top" wrapText="1"/>
    </xf>
    <xf numFmtId="282204" fontId="0" fillId="0" borderId="4" xfId="0" quotePrefix="0">
      <alignment vertical="top" wrapText="1"/>
    </xf>
    <xf numFmtId="282206" fontId="0" fillId="0" borderId="4" xfId="0" quotePrefix="0">
      <alignment vertical="top" wrapText="1"/>
    </xf>
    <xf numFmtId="282207" fontId="0" fillId="0" borderId="4" xfId="0" quotePrefix="0">
      <alignment vertical="top" wrapText="1"/>
    </xf>
    <xf numFmtId="282204" fontId="10" fillId="5" borderId="6" xfId="0" quotePrefix="0">
      <alignment vertical="top" wrapText="1"/>
    </xf>
    <xf numFmtId="282204" fontId="10" fillId="0" borderId="6" xfId="0" quotePrefix="0">
      <alignment vertical="top" wrapText="1"/>
    </xf>
    <xf numFmtId="0" fontId="10" fillId="5" borderId="7" xfId="0" quotePrefix="0">
      <alignment vertical="top" wrapText="1"/>
    </xf>
    <xf numFmtId="0" fontId="10" fillId="0" borderId="7" xfId="0" quotePrefix="0">
      <alignment vertical="top" wrapText="1"/>
    </xf>
    <xf numFmtId="282206" fontId="10" fillId="5" borderId="7" xfId="0" quotePrefix="0">
      <alignment vertical="top" wrapText="1"/>
    </xf>
    <xf numFmtId="282206" fontId="10" fillId="0" borderId="7" xfId="0" quotePrefix="0">
      <alignment vertical="top" wrapText="1"/>
    </xf>
    <xf numFmtId="282207" fontId="10" fillId="5" borderId="7" xfId="0" quotePrefix="0">
      <alignment vertical="top" wrapText="1"/>
    </xf>
    <xf numFmtId="282207" fontId="10" fillId="0" borderId="7" xfId="0" quotePrefix="0">
      <alignment vertical="top" wrapText="1"/>
    </xf>
    <xf numFmtId="0" fontId="11" fillId="0" borderId="1" xfId="0" quotePrefix="0"/>
    <xf numFmtId="0" fontId="0" fillId="0" borderId="1" xfId="0" quotePrefix="0">
      <alignment vertical="bottom" wrapText="1"/>
    </xf>
    <xf numFmtId="0" fontId="7" fillId="4" borderId="5" xfId="0" quotePrefix="0">
      <alignment horizontal="center" vertical="bottom" wrapText="1"/>
    </xf>
    <xf numFmtId="0" fontId="0" fillId="0" borderId="5" xfId="0" quotePrefix="0"/>
    <xf numFmtId="0" fontId="9" fillId="4" borderId="5" xfId="0" quotePrefix="0">
      <alignment horizontal="center" vertical="bottom" wrapText="1"/>
    </xf>
    <xf numFmtId="0" fontId="10" fillId="5" borderId="5" xfId="0" quotePrefix="0"/>
    <xf numFmtId="0" fontId="10" fillId="0" borderId="5" xfId="0" quotePrefix="0"/>
    <xf numFmtId="0" fontId="10" fillId="6" borderId="5" xfId="0" quotePrefix="0"/>
    <xf numFmtId="282206" fontId="10" fillId="5" borderId="8" xfId="0" quotePrefix="0">
      <alignment vertical="top" wrapText="1"/>
    </xf>
    <xf numFmtId="282206" fontId="10" fillId="0" borderId="8" xfId="0" quotePrefix="0">
      <alignment vertical="top" wrapText="1"/>
    </xf>
    <xf numFmtId="282207" fontId="10" fillId="5" borderId="8" xfId="0" quotePrefix="0">
      <alignment vertical="top" wrapText="1"/>
    </xf>
    <xf numFmtId="282207" fontId="10" fillId="0" borderId="8" xfId="0" quotePrefix="0">
      <alignment vertical="top" wrapText="1"/>
    </xf>
    <xf numFmtId="0" fontId="7" fillId="3" borderId="1" xfId="0" quotePrefix="0">
      <alignment horizontal="center" vertical="center" wrapText="1"/>
    </xf>
    <xf numFmtId="0" fontId="9" fillId="3" borderId="9" xfId="0" quotePrefix="0">
      <alignment horizontal="center" vertical="center" wrapText="1"/>
    </xf>
    <xf numFmtId="0" fontId="8" fillId="0" borderId="5" xfId="0" quotePrefix="0">
      <alignment vertical="top" wrapText="1"/>
    </xf>
    <xf numFmtId="0" fontId="0" fillId="0" borderId="5" xfId="0" quotePrefix="0">
      <alignment vertical="top" wrapText="1"/>
    </xf>
    <xf numFmtId="0" fontId="8" fillId="5" borderId="5" xfId="0" quotePrefix="0">
      <alignment vertical="top" wrapText="1"/>
    </xf>
    <xf numFmtId="0" fontId="10" fillId="5" borderId="5" xfId="0" quotePrefix="0">
      <alignment vertical="top" wrapText="1"/>
    </xf>
    <xf numFmtId="0" fontId="10" fillId="0" borderId="5" xfId="0" quotePrefix="0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00"/>
            </a:pPr>
            <a:r>
              <a:rPr sz="1000"/>
              <a:t>Monte Carlo Decision Snapshot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Monte_Carlo_Summary!$B$2</c:f>
            </c:strRef>
          </c:tx>
          <c:spPr>
            <a:ln>
              <a:prstDash val="solid"/>
            </a:ln>
          </c:spPr>
          <c:cat>
            <c:strRef>
              <c:f>Monte_Carlo_Summary!$A$3:$A$6</c:f>
            </c:strRef>
          </c:cat>
          <c:val>
            <c:numRef>
              <c:f>Monte_Carlo_Summary!$B$3:$B$6</c:f>
              <c:numCache>
                <c:formatCode>$#,##0</c:formatCode>
              </c:numCache>
            </c:numRef>
          </c:val>
          <c:extLst/>
          <c:invertIfNegative val="0"/>
        </c:ser>
        <c:axId val="24772438"/>
        <c:axId val="65077890"/>
        <c:barDir val="col"/>
        <c:grouping val="clustered"/>
        <c:gapWidth val="150"/>
        <c:varyColors val="0"/>
        <c:overlap val="0"/>
      </c:barChart>
      <c:catAx axisType="0">
        <c:axId val="24772438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/>
                </a:pPr>
                <a:r>
                  <a:rPr/>
                  <a:t>Metric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auto val="1"/>
        <c:tickMarkSkip val="1"/>
        <c:noMultiLvlLbl val="1"/>
        <c:crosses val="autoZero"/>
        <c:crossAx val="65077890"/>
      </c:catAx>
      <c:valAx axisType="3">
        <c:axId val="65077890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/>
                </a:pPr>
                <a:r>
                  <a:rPr/>
                  <a:t>Value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$#,##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24772438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00"/>
            </a:pPr>
            <a:r>
              <a:rPr sz="1000"/>
              <a:t>Average Monthly Contribution Profit by Branch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Branch_Summary!$D$2</c:f>
            </c:strRef>
          </c:tx>
          <c:spPr>
            <a:ln>
              <a:prstDash val="solid"/>
            </a:ln>
          </c:spPr>
          <c:cat>
            <c:strRef>
              <c:f>Branch_Summary!$A$3:$A$10</c:f>
            </c:strRef>
          </c:cat>
          <c:val>
            <c:numRef>
              <c:f>Branch_Summary!$D$3:$D$10</c:f>
              <c:numCache>
                <c:formatCode>General</c:formatCode>
              </c:numCache>
            </c:numRef>
          </c:val>
          <c:extLst/>
          <c:invertIfNegative val="0"/>
        </c:ser>
        <c:axId val="59942647"/>
        <c:axId val="11570561"/>
        <c:barDir val="col"/>
        <c:grouping val="clustered"/>
        <c:gapWidth val="150"/>
        <c:varyColors val="0"/>
        <c:overlap val="0"/>
      </c:barChart>
      <c:catAx axisType="0">
        <c:axId val="59942647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/>
                </a:pPr>
                <a:r>
                  <a:rPr/>
                  <a:t>Branch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auto val="1"/>
        <c:tickMarkSkip val="1"/>
        <c:noMultiLvlLbl val="1"/>
        <c:crosses val="autoZero"/>
        <c:crossAx val="11570561"/>
      </c:catAx>
      <c:valAx axisType="3">
        <c:axId val="11570561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/>
                </a:pPr>
                <a:r>
                  <a:rPr/>
                  <a:t>Contribution Profit</a:t>
                </a:r>
                <a:endParaRPr/>
              </a:p>
            </c:rich>
          </c:tx>
          <c:overlay val="0"/>
        </c:title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59942647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12</xdr:col>
      <xdr:colOff>273600</xdr:colOff>
      <xdr:row>17</xdr:row>
      <xdr:rowOff>22500</xdr:rowOff>
    </xdr:to>
    <xdr:graphicFrame>
      <xdr:nvGraphicFramePr>
        <xdr:cNvPr id="1" name="Chart 1"/>
        <xdr:cNvGraphicFramePr>
          <a:graphicFrameLocks noChangeAspect="0"/>
        </xdr:cNvGraphicFramePr>
      </xdr:nvGraphicFramePr>
      <xdr:xfrm>
        <a:off x="3543300" y="381000"/>
        <a:ext cx="576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14</xdr:col>
      <xdr:colOff>273600</xdr:colOff>
      <xdr:row>17</xdr:row>
      <xdr:rowOff>22500</xdr:rowOff>
    </xdr:to>
    <xdr:graphicFrame>
      <xdr:nvGraphicFramePr>
        <xdr:cNvPr id="1" name="Chart 1"/>
        <xdr:cNvGraphicFramePr>
          <a:graphicFrameLocks noChangeAspect="0"/>
        </xdr:cNvGraphicFramePr>
      </xdr:nvGraphicFramePr>
      <xdr:xfrm>
        <a:off x="7267575" y="381000"/>
        <a:ext cx="576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README" displayName="Table_README" ref="A2:B8">
  <autoFilter ref="A2:B8"/>
  <tableColumns count="2">
    <tableColumn id="1" name="Section"/>
    <tableColumn id="2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Branch_Monthly_Data" displayName="Table_Branch_Monthly_Data" ref="A2:P98">
  <autoFilter ref="A2:P98"/>
  <tableColumns count="16">
    <tableColumn id="1" name="Month"/>
    <tableColumn id="2" name="Branch"/>
    <tableColumn id="3" name="Market"/>
    <tableColumn id="4" name="Primary Segment"/>
    <tableColumn id="5" name="Customer Accounts"/>
    <tableColumn id="6" name="New Accounts"/>
    <tableColumn id="7" name="Average Deposits"/>
    <tableColumn id="8" name="Average Loans"/>
    <tableColumn id="9" name="Loan Yield"/>
    <tableColumn id="10" name="Cost of Funds"/>
    <tableColumn id="11" name="Fee Income"/>
    <tableColumn id="12" name="Operating Expense"/>
    <tableColumn id="13" name="Credit Loss Provision"/>
    <tableColumn id="14" name="Digital Adoption Rate"/>
    <tableColumn id="15" name="NIM Dollars"/>
    <tableColumn id="16" name="Monthly Contribution 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odel_Assumptions" displayName="Table_Model_Assumptions" ref="A2:C12">
  <autoFilter ref="A2:C12"/>
  <tableColumns count="3">
    <tableColumn id="1" name="Input"/>
    <tableColumn id="2" name="Value"/>
    <tableColumn id="3" name="Plain English 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Scenario_Assumptions" displayName="Table_Scenario_Assumptions" ref="A2:F5">
  <autoFilter ref="A2:F5"/>
  <tableColumns count="6">
    <tableColumn id="1" name="Scenario"/>
    <tableColumn id="2" name="Adoption Rate"/>
    <tableColumn id="3" name="Benefit Multiplier"/>
    <tableColumn id="4" name="Cost Multiplier"/>
    <tableColumn id="5" name="Risk Adjustment"/>
    <tableColumn id="6" name="Narra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nancialModelLiveBuild" displayName="FinancialModelLiveBuild" ref="A6:K114">
  <autoFilter ref="A6:K114"/>
  <tableColumns count="11">
    <tableColumn id="1" name="Month Number"/>
    <tableColumn id="2" name="Scenario"/>
    <tableColumn id="3" name="Adoption Rate"/>
    <tableColumn id="4" name="Gross Benefit"/>
    <tableColumn id="5" name="Risk-Adjusted Benefit"/>
    <tableColumn id="6" name="Operating Cost"/>
    <tableColumn id="7" name="Net Monthly Benefit"/>
    <tableColumn id="8" name="Cumulative Net Benefit"/>
    <tableColumn id="9" name="Discount Factor"/>
    <tableColumn id="10" name="Present Value"/>
    <tableColumn id="11" name="Formula Verification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Financial_Model" displayName="Table_Financial_Model" ref="A2:J110">
  <autoFilter ref="A2:J110"/>
  <tableColumns count="10">
    <tableColumn id="1" name="Month Number"/>
    <tableColumn id="2" name="Scenario"/>
    <tableColumn id="3" name="Adoption Rate"/>
    <tableColumn id="4" name="Gross Benefit"/>
    <tableColumn id="5" name="Risk-Adjusted Benefit"/>
    <tableColumn id="6" name="Operating Cost"/>
    <tableColumn id="7" name="Net Monthly Benefit"/>
    <tableColumn id="8" name="Cumulative Net Benefit"/>
    <tableColumn id="9" name="Discount Factor"/>
    <tableColumn id="10" name="Present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onte_Carlo_Inputs" displayName="Table_Monte_Carlo_Inputs" ref="A2:F9">
  <autoFilter ref="A2:F9"/>
  <tableColumns count="6">
    <tableColumn id="1" name="Variable"/>
    <tableColumn id="2" name="Distribution"/>
    <tableColumn id="3" name="Low / Mean"/>
    <tableColumn id="4" name="Most Likely / StDev"/>
    <tableColumn id="5" name="High"/>
    <tableColumn id="6" name="Why It Matt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Monte_Carlo_Trials" displayName="Table_Monte_Carlo_Trials" ref="A2:I2002">
  <autoFilter ref="A2:I2002"/>
  <tableColumns count="9">
    <tableColumn id="1" name="Trial"/>
    <tableColumn id="2" name="Adoption Rate"/>
    <tableColumn id="3" name="Benefit Multiplier"/>
    <tableColumn id="4" name="Monthly Cost"/>
    <tableColumn id="5" name="Risk Adjustment"/>
    <tableColumn id="6" name="Annual Growth Rate"/>
    <tableColumn id="7" name="36-Month NPV"/>
    <tableColumn id="8" name="36-Month Cumulative Benefit"/>
    <tableColumn id="9" name="Break-Even Outco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teCarloLiveBuild" displayName="MonteCarloLiveBuild" ref="A6:J2006">
  <autoFilter ref="A6:J2006"/>
  <tableColumns count="10">
    <tableColumn id="1" name="Trial"/>
    <tableColumn id="2" name="Adoption Rate"/>
    <tableColumn id="3" name="Benefit Multiplier"/>
    <tableColumn id="4" name="Monthly Cost"/>
    <tableColumn id="5" name="Risk Adjustment"/>
    <tableColumn id="6" name="Annual Growth Rate"/>
    <tableColumn id="7" name="36-Month NPV"/>
    <tableColumn id="8" name="36-Month Cumulative Benefit"/>
    <tableColumn id="9" name="Break-Even Outcome"/>
    <tableColumn id="10" name="Verification Note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able_Monte_Carlo_Summary" displayName="Table_Monte_Carlo_Summary" ref="A2:B10">
  <autoFilter ref="A2:B10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Copilot_Prompt_Library" displayName="Table_Copilot_Prompt_Library" ref="A2:C12">
  <autoFilter ref="A2:C12"/>
  <tableColumns count="3">
    <tableColumn id="1" name="Demo"/>
    <tableColumn id="2" name="Prompt to Use in Copilot in Excel"/>
    <tableColumn id="3" name="Teaching Poi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Branch_Summary" displayName="Table_Branch_Summary" ref="A2:E10">
  <autoFilter ref="A2:E10"/>
  <tableColumns count="5">
    <tableColumn id="1" name="Branch"/>
    <tableColumn id="2" name="Average Deposits"/>
    <tableColumn id="3" name="Average Loans"/>
    <tableColumn id="4" name="Monthly Contribution Profit"/>
    <tableColumn id="5" name="Digital Adoption Rate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AgentWorkflowBlueprint" displayName="AgentWorkflowBlueprint" ref="A5:C13">
  <autoFilter ref="A5:C13"/>
  <tableColumns count="3">
    <tableColumn id="1" name="Agent Component"/>
    <tableColumn id="2" name="What to Document"/>
    <tableColumn id="3" name="Example for This Master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080C9D8-A58B-FBF8-CBA8-646DA32B5A8C}" mc:Ignorable="x14ac xr xr2 xr3">
  <dimension ref="A1:AX501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31.140625" customWidth="1"/>
    <col min="2" max="2" width="48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6" t="s">
        <v>0</v>
      </c>
      <c r="B2" s="6" t="s">
        <v>1</v>
      </c>
    </row>
    <row r="3" ht="27.75" customHeight="1">
      <c r="A3" s="7" t="s">
        <v>2</v>
      </c>
      <c r="B3" s="7" t="s">
        <v>3</v>
      </c>
    </row>
    <row r="4" ht="40.5" customHeight="1">
      <c r="A4" s="8" t="s">
        <v>4</v>
      </c>
      <c r="B4" s="8" t="s">
        <v>5</v>
      </c>
    </row>
    <row r="5" ht="40.5" customHeight="1">
      <c r="A5" s="7" t="s">
        <v>6</v>
      </c>
      <c r="B5" s="7" t="s">
        <v>7</v>
      </c>
    </row>
    <row r="6" ht="40.5" customHeight="1">
      <c r="A6" s="8" t="s">
        <v>8</v>
      </c>
      <c r="B6" s="8" t="s">
        <v>9</v>
      </c>
    </row>
    <row r="7" ht="40.5" customHeight="1">
      <c r="A7" s="7" t="s">
        <v>10</v>
      </c>
      <c r="B7" s="7" t="s">
        <v>11</v>
      </c>
    </row>
    <row r="8" ht="53.25" customHeight="1">
      <c r="A8" s="8" t="s">
        <v>12</v>
      </c>
      <c r="B8" s="8" t="s">
        <v>13</v>
      </c>
    </row>
    <row r="9" ht="40.5" customHeight="1">
      <c r="A9" s="4" t="s">
        <v>14</v>
      </c>
      <c r="B9" s="5" t="s">
        <v>15</v>
      </c>
    </row>
    <row r="10" ht="40.5" customHeight="1">
      <c r="A10" s="4" t="s">
        <v>16</v>
      </c>
      <c r="B10" s="5" t="s">
        <v>17</v>
      </c>
    </row>
    <row r="11" ht="40.5" customHeight="1">
      <c r="A11" s="4" t="s">
        <v>18</v>
      </c>
      <c r="B11" s="5" t="s">
        <v>19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8366E06-E638-3258-EEDE-B9B87F7ABC23}" mc:Ignorable="x14ac xr xr2 xr3">
  <dimension ref="A1:P9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1.00390625" customWidth="1"/>
    <col min="2" max="2" width="17.00390625" customWidth="1"/>
    <col min="3" max="3" width="14.00390625" customWidth="1"/>
    <col min="4" max="4" width="24.00390625" customWidth="1"/>
    <col min="5" max="5" width="19.00390625" customWidth="1"/>
    <col min="6" max="6" width="14.00390625" customWidth="1"/>
    <col min="7" max="7" width="18.00390625" customWidth="1"/>
    <col min="8" max="8" width="15.00390625" customWidth="1"/>
    <col min="9" max="9" width="12.00390625" customWidth="1"/>
    <col min="10" max="10" width="15.00390625" customWidth="1"/>
    <col min="11" max="11" width="12.00390625" customWidth="1"/>
    <col min="12" max="12" width="19.00390625" customWidth="1"/>
    <col min="13" max="14" width="23.00390625" customWidth="1"/>
    <col min="15" max="15" width="13.00390625" customWidth="1"/>
    <col min="16" max="16" width="29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" customHeight="1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</row>
    <row r="3" ht="15" customHeight="1">
      <c r="A3" s="12">
        <v>46023</v>
      </c>
      <c r="B3" s="14" t="s">
        <v>36</v>
      </c>
      <c r="C3" s="14" t="s">
        <v>37</v>
      </c>
      <c r="D3" s="14" t="s">
        <v>38</v>
      </c>
      <c r="E3" s="14">
        <v>10329</v>
      </c>
      <c r="F3" s="14">
        <v>176</v>
      </c>
      <c r="G3" s="16">
        <v>345100108.68</v>
      </c>
      <c r="H3" s="16">
        <v>421556900.62</v>
      </c>
      <c r="I3" s="14">
        <v>0.06351</v>
      </c>
      <c r="J3" s="16">
        <v>0.03046</v>
      </c>
      <c r="K3" s="16">
        <v>220720.44</v>
      </c>
      <c r="L3" s="16">
        <v>628519.86</v>
      </c>
      <c r="M3" s="16">
        <v>301396.8</v>
      </c>
      <c r="N3" s="18">
        <v>0.583</v>
      </c>
      <c r="O3" s="14">
        <v>1355109.79</v>
      </c>
      <c r="P3" s="16">
        <v>645913.57</v>
      </c>
    </row>
    <row r="4" ht="15" customHeight="1">
      <c r="A4" s="13">
        <v>46054</v>
      </c>
      <c r="B4" s="15" t="s">
        <v>36</v>
      </c>
      <c r="C4" s="15" t="s">
        <v>37</v>
      </c>
      <c r="D4" s="15" t="s">
        <v>38</v>
      </c>
      <c r="E4" s="15">
        <v>10273</v>
      </c>
      <c r="F4" s="15">
        <v>178</v>
      </c>
      <c r="G4" s="17">
        <v>358004367.14</v>
      </c>
      <c r="H4" s="17">
        <v>436481854.86</v>
      </c>
      <c r="I4" s="15">
        <v>0.06881</v>
      </c>
      <c r="J4" s="17">
        <v>0.03149</v>
      </c>
      <c r="K4" s="17">
        <v>197123.81</v>
      </c>
      <c r="L4" s="17">
        <v>694791.78</v>
      </c>
      <c r="M4" s="17">
        <v>725531.83</v>
      </c>
      <c r="N4" s="19">
        <v>0.5743</v>
      </c>
      <c r="O4" s="15">
        <v>1563312.02</v>
      </c>
      <c r="P4" s="17">
        <v>340112.22</v>
      </c>
    </row>
    <row r="5" ht="15" customHeight="1">
      <c r="A5" s="12">
        <v>46082</v>
      </c>
      <c r="B5" s="14" t="s">
        <v>36</v>
      </c>
      <c r="C5" s="14" t="s">
        <v>37</v>
      </c>
      <c r="D5" s="14" t="s">
        <v>38</v>
      </c>
      <c r="E5" s="14">
        <v>10313</v>
      </c>
      <c r="F5" s="14">
        <v>163</v>
      </c>
      <c r="G5" s="16">
        <v>344933331.67</v>
      </c>
      <c r="H5" s="16">
        <v>416520265.55</v>
      </c>
      <c r="I5" s="14">
        <v>0.06924</v>
      </c>
      <c r="J5" s="16">
        <v>0.0285</v>
      </c>
      <c r="K5" s="16">
        <v>253897.37</v>
      </c>
      <c r="L5" s="16">
        <v>743945.16</v>
      </c>
      <c r="M5" s="16">
        <v>454715.46</v>
      </c>
      <c r="N5" s="18">
        <v>0.5718</v>
      </c>
      <c r="O5" s="14">
        <v>1584047.45</v>
      </c>
      <c r="P5" s="16">
        <v>639284.19</v>
      </c>
    </row>
    <row r="6" ht="15" customHeight="1">
      <c r="A6" s="13">
        <v>46113</v>
      </c>
      <c r="B6" s="15" t="s">
        <v>36</v>
      </c>
      <c r="C6" s="15" t="s">
        <v>37</v>
      </c>
      <c r="D6" s="15" t="s">
        <v>38</v>
      </c>
      <c r="E6" s="15">
        <v>10434</v>
      </c>
      <c r="F6" s="15">
        <v>144</v>
      </c>
      <c r="G6" s="17">
        <v>352673950.41</v>
      </c>
      <c r="H6" s="17">
        <v>420541463.05</v>
      </c>
      <c r="I6" s="15">
        <v>0.06396</v>
      </c>
      <c r="J6" s="17">
        <v>0.03526</v>
      </c>
      <c r="K6" s="17">
        <v>235965.26</v>
      </c>
      <c r="L6" s="17">
        <v>734445.08</v>
      </c>
      <c r="M6" s="17">
        <v>449677.77</v>
      </c>
      <c r="N6" s="19">
        <v>0.6219</v>
      </c>
      <c r="O6" s="15">
        <v>1205098.98</v>
      </c>
      <c r="P6" s="17">
        <v>256941.4</v>
      </c>
    </row>
    <row r="7" ht="15" customHeight="1">
      <c r="A7" s="12">
        <v>46143</v>
      </c>
      <c r="B7" s="14" t="s">
        <v>36</v>
      </c>
      <c r="C7" s="14" t="s">
        <v>37</v>
      </c>
      <c r="D7" s="14" t="s">
        <v>38</v>
      </c>
      <c r="E7" s="14">
        <v>10346</v>
      </c>
      <c r="F7" s="14">
        <v>145</v>
      </c>
      <c r="G7" s="16">
        <v>358019493.52</v>
      </c>
      <c r="H7" s="16">
        <v>428366976.26</v>
      </c>
      <c r="I7" s="14">
        <v>0.0655</v>
      </c>
      <c r="J7" s="16">
        <v>0.03181</v>
      </c>
      <c r="K7" s="16">
        <v>177877.61</v>
      </c>
      <c r="L7" s="16">
        <v>685305.94</v>
      </c>
      <c r="M7" s="16">
        <v>334660.02</v>
      </c>
      <c r="N7" s="18">
        <v>0.6103</v>
      </c>
      <c r="O7" s="14">
        <v>1389261.18</v>
      </c>
      <c r="P7" s="16">
        <v>547172.82</v>
      </c>
    </row>
    <row r="8" ht="15" customHeight="1">
      <c r="A8" s="13">
        <v>46174</v>
      </c>
      <c r="B8" s="15" t="s">
        <v>36</v>
      </c>
      <c r="C8" s="15" t="s">
        <v>37</v>
      </c>
      <c r="D8" s="15" t="s">
        <v>38</v>
      </c>
      <c r="E8" s="15">
        <v>10480</v>
      </c>
      <c r="F8" s="15">
        <v>181</v>
      </c>
      <c r="G8" s="17">
        <v>348647713.44</v>
      </c>
      <c r="H8" s="17">
        <v>445233861.92</v>
      </c>
      <c r="I8" s="15">
        <v>0.06269</v>
      </c>
      <c r="J8" s="17">
        <v>0.03318</v>
      </c>
      <c r="K8" s="17">
        <v>235184.82</v>
      </c>
      <c r="L8" s="17">
        <v>613855.82</v>
      </c>
      <c r="M8" s="17">
        <v>424726.4</v>
      </c>
      <c r="N8" s="19">
        <v>0.6135</v>
      </c>
      <c r="O8" s="15">
        <v>1362040.37</v>
      </c>
      <c r="P8" s="17">
        <v>558642.97</v>
      </c>
    </row>
    <row r="9" ht="15" customHeight="1">
      <c r="A9" s="12">
        <v>46204</v>
      </c>
      <c r="B9" s="14" t="s">
        <v>36</v>
      </c>
      <c r="C9" s="14" t="s">
        <v>37</v>
      </c>
      <c r="D9" s="14" t="s">
        <v>38</v>
      </c>
      <c r="E9" s="14">
        <v>10483</v>
      </c>
      <c r="F9" s="14">
        <v>159</v>
      </c>
      <c r="G9" s="16">
        <v>358892360.44</v>
      </c>
      <c r="H9" s="16">
        <v>424984179.87</v>
      </c>
      <c r="I9" s="14">
        <v>0.06719</v>
      </c>
      <c r="J9" s="16">
        <v>0.0292</v>
      </c>
      <c r="K9" s="16">
        <v>188862.8</v>
      </c>
      <c r="L9" s="16">
        <v>663634.94</v>
      </c>
      <c r="M9" s="16">
        <v>400954.73</v>
      </c>
      <c r="N9" s="18">
        <v>0.6178</v>
      </c>
      <c r="O9" s="14">
        <v>1506129.12</v>
      </c>
      <c r="P9" s="16">
        <v>630402.25</v>
      </c>
    </row>
    <row r="10" ht="15" customHeight="1">
      <c r="A10" s="13">
        <v>46235</v>
      </c>
      <c r="B10" s="15" t="s">
        <v>36</v>
      </c>
      <c r="C10" s="15" t="s">
        <v>37</v>
      </c>
      <c r="D10" s="15" t="s">
        <v>38</v>
      </c>
      <c r="E10" s="15">
        <v>10583</v>
      </c>
      <c r="F10" s="15">
        <v>174</v>
      </c>
      <c r="G10" s="17">
        <v>349892377.06</v>
      </c>
      <c r="H10" s="17">
        <v>444438946.65</v>
      </c>
      <c r="I10" s="15">
        <v>0.05811</v>
      </c>
      <c r="J10" s="17">
        <v>0.03354</v>
      </c>
      <c r="K10" s="17">
        <v>193953.08</v>
      </c>
      <c r="L10" s="17">
        <v>641332.56</v>
      </c>
      <c r="M10" s="17">
        <v>383828.83</v>
      </c>
      <c r="N10" s="19">
        <v>0.6342</v>
      </c>
      <c r="O10" s="15">
        <v>1173972.36</v>
      </c>
      <c r="P10" s="17">
        <v>342764.05</v>
      </c>
    </row>
    <row r="11" ht="15" customHeight="1">
      <c r="A11" s="12">
        <v>46266</v>
      </c>
      <c r="B11" s="14" t="s">
        <v>36</v>
      </c>
      <c r="C11" s="14" t="s">
        <v>37</v>
      </c>
      <c r="D11" s="14" t="s">
        <v>38</v>
      </c>
      <c r="E11" s="14">
        <v>10703</v>
      </c>
      <c r="F11" s="14">
        <v>225</v>
      </c>
      <c r="G11" s="16">
        <v>353241558.42</v>
      </c>
      <c r="H11" s="16">
        <v>441768149.85</v>
      </c>
      <c r="I11" s="14">
        <v>0.06165</v>
      </c>
      <c r="J11" s="16">
        <v>0.03001</v>
      </c>
      <c r="K11" s="16">
        <v>171718.07</v>
      </c>
      <c r="L11" s="16">
        <v>834285.84</v>
      </c>
      <c r="M11" s="16">
        <v>233583.8</v>
      </c>
      <c r="N11" s="18">
        <v>0.6305</v>
      </c>
      <c r="O11" s="14">
        <v>1386252.91</v>
      </c>
      <c r="P11" s="16">
        <v>490101.34</v>
      </c>
    </row>
    <row r="12" ht="15" customHeight="1">
      <c r="A12" s="13">
        <v>46296</v>
      </c>
      <c r="B12" s="15" t="s">
        <v>36</v>
      </c>
      <c r="C12" s="15" t="s">
        <v>37</v>
      </c>
      <c r="D12" s="15" t="s">
        <v>38</v>
      </c>
      <c r="E12" s="15">
        <v>10633</v>
      </c>
      <c r="F12" s="15">
        <v>195</v>
      </c>
      <c r="G12" s="17">
        <v>358694486.24</v>
      </c>
      <c r="H12" s="17">
        <v>443397384.51</v>
      </c>
      <c r="I12" s="15">
        <v>0.05621</v>
      </c>
      <c r="J12" s="17">
        <v>0.02603</v>
      </c>
      <c r="K12" s="17">
        <v>171534.74</v>
      </c>
      <c r="L12" s="17">
        <v>755548.27</v>
      </c>
      <c r="M12" s="17">
        <v>449562.16</v>
      </c>
      <c r="N12" s="19">
        <v>0.6556</v>
      </c>
      <c r="O12" s="15">
        <v>1298920.85</v>
      </c>
      <c r="P12" s="17">
        <v>265345.16</v>
      </c>
    </row>
    <row r="13" ht="15" customHeight="1">
      <c r="A13" s="12">
        <v>46327</v>
      </c>
      <c r="B13" s="14" t="s">
        <v>36</v>
      </c>
      <c r="C13" s="14" t="s">
        <v>37</v>
      </c>
      <c r="D13" s="14" t="s">
        <v>38</v>
      </c>
      <c r="E13" s="14">
        <v>10615</v>
      </c>
      <c r="F13" s="14">
        <v>160</v>
      </c>
      <c r="G13" s="16">
        <v>350174905.26</v>
      </c>
      <c r="H13" s="16">
        <v>450657574.66</v>
      </c>
      <c r="I13" s="14">
        <v>0.06536</v>
      </c>
      <c r="J13" s="16">
        <v>0.02677</v>
      </c>
      <c r="K13" s="16">
        <v>201350.71</v>
      </c>
      <c r="L13" s="16">
        <v>623696.24</v>
      </c>
      <c r="M13" s="16">
        <v>771615.59</v>
      </c>
      <c r="N13" s="18">
        <v>0.704</v>
      </c>
      <c r="O13" s="14">
        <v>1673258.46</v>
      </c>
      <c r="P13" s="16">
        <v>479297.34</v>
      </c>
    </row>
    <row r="14" ht="15" customHeight="1">
      <c r="A14" s="13">
        <v>46357</v>
      </c>
      <c r="B14" s="15" t="s">
        <v>36</v>
      </c>
      <c r="C14" s="15" t="s">
        <v>37</v>
      </c>
      <c r="D14" s="15" t="s">
        <v>38</v>
      </c>
      <c r="E14" s="15">
        <v>10778</v>
      </c>
      <c r="F14" s="15">
        <v>143</v>
      </c>
      <c r="G14" s="17">
        <v>362025743.8</v>
      </c>
      <c r="H14" s="17">
        <v>444540418.36</v>
      </c>
      <c r="I14" s="15">
        <v>0.06181</v>
      </c>
      <c r="J14" s="17">
        <v>0.02545</v>
      </c>
      <c r="K14" s="17">
        <v>258250.36</v>
      </c>
      <c r="L14" s="17">
        <v>612350.05</v>
      </c>
      <c r="M14" s="17">
        <v>450406.46</v>
      </c>
      <c r="N14" s="19">
        <v>0.6691</v>
      </c>
      <c r="O14" s="15">
        <v>1522196.19</v>
      </c>
      <c r="P14" s="17">
        <v>717690.04</v>
      </c>
    </row>
    <row r="15" ht="15" customHeight="1">
      <c r="A15" s="12">
        <v>46023</v>
      </c>
      <c r="B15" s="14" t="s">
        <v>39</v>
      </c>
      <c r="C15" s="14" t="s">
        <v>37</v>
      </c>
      <c r="D15" s="14" t="s">
        <v>40</v>
      </c>
      <c r="E15" s="14">
        <v>22962</v>
      </c>
      <c r="F15" s="14">
        <v>337</v>
      </c>
      <c r="G15" s="16">
        <v>213521349.7</v>
      </c>
      <c r="H15" s="16">
        <v>199365431.61</v>
      </c>
      <c r="I15" s="14">
        <v>0.06689</v>
      </c>
      <c r="J15" s="16">
        <v>0.03376</v>
      </c>
      <c r="K15" s="16">
        <v>161192.27</v>
      </c>
      <c r="L15" s="16">
        <v>973354.07</v>
      </c>
      <c r="M15" s="16">
        <v>153254.55</v>
      </c>
      <c r="N15" s="18">
        <v>0.5456</v>
      </c>
      <c r="O15" s="14">
        <v>510619.17</v>
      </c>
      <c r="P15" s="16">
        <v>-454797.18</v>
      </c>
    </row>
    <row r="16" ht="15" customHeight="1">
      <c r="A16" s="13">
        <v>46054</v>
      </c>
      <c r="B16" s="15" t="s">
        <v>39</v>
      </c>
      <c r="C16" s="15" t="s">
        <v>37</v>
      </c>
      <c r="D16" s="15" t="s">
        <v>40</v>
      </c>
      <c r="E16" s="15">
        <v>23039</v>
      </c>
      <c r="F16" s="15">
        <v>384</v>
      </c>
      <c r="G16" s="17">
        <v>219371042.7</v>
      </c>
      <c r="H16" s="17">
        <v>201456844.41</v>
      </c>
      <c r="I16" s="15">
        <v>0.06552</v>
      </c>
      <c r="J16" s="17">
        <v>0.02756</v>
      </c>
      <c r="K16" s="17">
        <v>114483.84</v>
      </c>
      <c r="L16" s="17">
        <v>764064.21</v>
      </c>
      <c r="M16" s="17">
        <v>156995.29</v>
      </c>
      <c r="N16" s="19">
        <v>0.5322</v>
      </c>
      <c r="O16" s="15">
        <v>596097.06</v>
      </c>
      <c r="P16" s="17">
        <v>-210478.6</v>
      </c>
    </row>
    <row r="17" ht="15" customHeight="1">
      <c r="A17" s="12">
        <v>46082</v>
      </c>
      <c r="B17" s="14" t="s">
        <v>39</v>
      </c>
      <c r="C17" s="14" t="s">
        <v>37</v>
      </c>
      <c r="D17" s="14" t="s">
        <v>40</v>
      </c>
      <c r="E17" s="14">
        <v>23033</v>
      </c>
      <c r="F17" s="14">
        <v>411</v>
      </c>
      <c r="G17" s="16">
        <v>224267135.78</v>
      </c>
      <c r="H17" s="16">
        <v>196698796.85</v>
      </c>
      <c r="I17" s="14">
        <v>0.0686</v>
      </c>
      <c r="J17" s="16">
        <v>0.03595</v>
      </c>
      <c r="K17" s="16">
        <v>105601.06</v>
      </c>
      <c r="L17" s="16">
        <v>726598.83</v>
      </c>
      <c r="M17" s="16">
        <v>159388.69</v>
      </c>
      <c r="N17" s="18">
        <v>0.526</v>
      </c>
      <c r="O17" s="14">
        <v>452563.87</v>
      </c>
      <c r="P17" s="16">
        <v>-327822.58</v>
      </c>
    </row>
    <row r="18" ht="15" customHeight="1">
      <c r="A18" s="13">
        <v>46113</v>
      </c>
      <c r="B18" s="15" t="s">
        <v>39</v>
      </c>
      <c r="C18" s="15" t="s">
        <v>37</v>
      </c>
      <c r="D18" s="15" t="s">
        <v>40</v>
      </c>
      <c r="E18" s="15">
        <v>23031</v>
      </c>
      <c r="F18" s="15">
        <v>418</v>
      </c>
      <c r="G18" s="17">
        <v>219875304.6</v>
      </c>
      <c r="H18" s="17">
        <v>201645100.02</v>
      </c>
      <c r="I18" s="15">
        <v>0.06311</v>
      </c>
      <c r="J18" s="17">
        <v>0.02897</v>
      </c>
      <c r="K18" s="17">
        <v>148691.68</v>
      </c>
      <c r="L18" s="17">
        <v>757261.38</v>
      </c>
      <c r="M18" s="17">
        <v>311299.35</v>
      </c>
      <c r="N18" s="19">
        <v>0.5813</v>
      </c>
      <c r="O18" s="15">
        <v>529573.12</v>
      </c>
      <c r="P18" s="17">
        <v>-390295.92</v>
      </c>
    </row>
    <row r="19" ht="15" customHeight="1">
      <c r="A19" s="12">
        <v>46143</v>
      </c>
      <c r="B19" s="14" t="s">
        <v>39</v>
      </c>
      <c r="C19" s="14" t="s">
        <v>37</v>
      </c>
      <c r="D19" s="14" t="s">
        <v>40</v>
      </c>
      <c r="E19" s="14">
        <v>23255</v>
      </c>
      <c r="F19" s="14">
        <v>413</v>
      </c>
      <c r="G19" s="16">
        <v>222107924.78</v>
      </c>
      <c r="H19" s="16">
        <v>204963759.57</v>
      </c>
      <c r="I19" s="14">
        <v>0.06181</v>
      </c>
      <c r="J19" s="16">
        <v>0.03011</v>
      </c>
      <c r="K19" s="16">
        <v>153711.31</v>
      </c>
      <c r="L19" s="16">
        <v>683671.87</v>
      </c>
      <c r="M19" s="16">
        <v>134438.06</v>
      </c>
      <c r="N19" s="18">
        <v>0.5659</v>
      </c>
      <c r="O19" s="14">
        <v>498525.87</v>
      </c>
      <c r="P19" s="16">
        <v>-165872.75</v>
      </c>
    </row>
    <row r="20" ht="15" customHeight="1">
      <c r="A20" s="13">
        <v>46174</v>
      </c>
      <c r="B20" s="15" t="s">
        <v>39</v>
      </c>
      <c r="C20" s="15" t="s">
        <v>37</v>
      </c>
      <c r="D20" s="15" t="s">
        <v>40</v>
      </c>
      <c r="E20" s="15">
        <v>23382</v>
      </c>
      <c r="F20" s="15">
        <v>414</v>
      </c>
      <c r="G20" s="17">
        <v>222928789.02</v>
      </c>
      <c r="H20" s="17">
        <v>201528673.67</v>
      </c>
      <c r="I20" s="15">
        <v>0.06235</v>
      </c>
      <c r="J20" s="17">
        <v>0.02866</v>
      </c>
      <c r="K20" s="17">
        <v>156201.12</v>
      </c>
      <c r="L20" s="17">
        <v>712798.97</v>
      </c>
      <c r="M20" s="17">
        <v>158830.37</v>
      </c>
      <c r="N20" s="19">
        <v>0.5929</v>
      </c>
      <c r="O20" s="15">
        <v>514800.25</v>
      </c>
      <c r="P20" s="17">
        <v>-200627.97</v>
      </c>
    </row>
    <row r="21" ht="15" customHeight="1">
      <c r="A21" s="12">
        <v>46204</v>
      </c>
      <c r="B21" s="14" t="s">
        <v>39</v>
      </c>
      <c r="C21" s="14" t="s">
        <v>37</v>
      </c>
      <c r="D21" s="14" t="s">
        <v>40</v>
      </c>
      <c r="E21" s="14">
        <v>23439</v>
      </c>
      <c r="F21" s="14">
        <v>376</v>
      </c>
      <c r="G21" s="16">
        <v>215313595.56</v>
      </c>
      <c r="H21" s="16">
        <v>204965230.94</v>
      </c>
      <c r="I21" s="14">
        <v>0.05769</v>
      </c>
      <c r="J21" s="16">
        <v>0.03237</v>
      </c>
      <c r="K21" s="16">
        <v>124569.32</v>
      </c>
      <c r="L21" s="16">
        <v>788289.12</v>
      </c>
      <c r="M21" s="16">
        <v>195709.48</v>
      </c>
      <c r="N21" s="18">
        <v>0.6286</v>
      </c>
      <c r="O21" s="14">
        <v>404545.46</v>
      </c>
      <c r="P21" s="16">
        <v>-454883.82</v>
      </c>
    </row>
    <row r="22" ht="15" customHeight="1">
      <c r="A22" s="13">
        <v>46235</v>
      </c>
      <c r="B22" s="15" t="s">
        <v>39</v>
      </c>
      <c r="C22" s="15" t="s">
        <v>37</v>
      </c>
      <c r="D22" s="15" t="s">
        <v>40</v>
      </c>
      <c r="E22" s="15">
        <v>23730</v>
      </c>
      <c r="F22" s="15">
        <v>422</v>
      </c>
      <c r="G22" s="17">
        <v>218601483.29</v>
      </c>
      <c r="H22" s="17">
        <v>207777607.91</v>
      </c>
      <c r="I22" s="15">
        <v>0.06399</v>
      </c>
      <c r="J22" s="17">
        <v>0.03347</v>
      </c>
      <c r="K22" s="17">
        <v>122677.34</v>
      </c>
      <c r="L22" s="17">
        <v>758091.11</v>
      </c>
      <c r="M22" s="17">
        <v>308065.22</v>
      </c>
      <c r="N22" s="19">
        <v>0.6028</v>
      </c>
      <c r="O22" s="15">
        <v>498201.75</v>
      </c>
      <c r="P22" s="17">
        <v>-445277.23</v>
      </c>
    </row>
    <row r="23" ht="15" customHeight="1">
      <c r="A23" s="12">
        <v>46266</v>
      </c>
      <c r="B23" s="14" t="s">
        <v>39</v>
      </c>
      <c r="C23" s="14" t="s">
        <v>37</v>
      </c>
      <c r="D23" s="14" t="s">
        <v>40</v>
      </c>
      <c r="E23" s="14">
        <v>23913</v>
      </c>
      <c r="F23" s="14">
        <v>431</v>
      </c>
      <c r="G23" s="16">
        <v>215725292.19</v>
      </c>
      <c r="H23" s="16">
        <v>216955345.36</v>
      </c>
      <c r="I23" s="14">
        <v>0.0622</v>
      </c>
      <c r="J23" s="16">
        <v>0.02771</v>
      </c>
      <c r="K23" s="16">
        <v>127305.02</v>
      </c>
      <c r="L23" s="16">
        <v>720411.57</v>
      </c>
      <c r="M23" s="16">
        <v>199835.47</v>
      </c>
      <c r="N23" s="18">
        <v>0.6102</v>
      </c>
      <c r="O23" s="14">
        <v>626398.91</v>
      </c>
      <c r="P23" s="16">
        <v>-166543.11</v>
      </c>
    </row>
    <row r="24" ht="15" customHeight="1">
      <c r="A24" s="13">
        <v>46296</v>
      </c>
      <c r="B24" s="15" t="s">
        <v>39</v>
      </c>
      <c r="C24" s="15" t="s">
        <v>37</v>
      </c>
      <c r="D24" s="15" t="s">
        <v>40</v>
      </c>
      <c r="E24" s="15">
        <v>23577</v>
      </c>
      <c r="F24" s="15">
        <v>486</v>
      </c>
      <c r="G24" s="17">
        <v>211729886.94</v>
      </c>
      <c r="H24" s="17">
        <v>207607553.19</v>
      </c>
      <c r="I24" s="15">
        <v>0.06189</v>
      </c>
      <c r="J24" s="17">
        <v>0.0324</v>
      </c>
      <c r="K24" s="17">
        <v>103072.23</v>
      </c>
      <c r="L24" s="17">
        <v>722385.31</v>
      </c>
      <c r="M24" s="17">
        <v>267044.7</v>
      </c>
      <c r="N24" s="19">
        <v>0.6265</v>
      </c>
      <c r="O24" s="15">
        <v>499073.61</v>
      </c>
      <c r="P24" s="17">
        <v>-387284.18</v>
      </c>
    </row>
    <row r="25" ht="15" customHeight="1">
      <c r="A25" s="12">
        <v>46327</v>
      </c>
      <c r="B25" s="14" t="s">
        <v>39</v>
      </c>
      <c r="C25" s="14" t="s">
        <v>37</v>
      </c>
      <c r="D25" s="14" t="s">
        <v>40</v>
      </c>
      <c r="E25" s="14">
        <v>23983</v>
      </c>
      <c r="F25" s="14">
        <v>451</v>
      </c>
      <c r="G25" s="16">
        <v>216172719.1</v>
      </c>
      <c r="H25" s="16">
        <v>206270672.1</v>
      </c>
      <c r="I25" s="14">
        <v>0.06164</v>
      </c>
      <c r="J25" s="16">
        <v>0.0325</v>
      </c>
      <c r="K25" s="16">
        <v>100421.55</v>
      </c>
      <c r="L25" s="16">
        <v>794286.6</v>
      </c>
      <c r="M25" s="16">
        <v>195040.08</v>
      </c>
      <c r="N25" s="18">
        <v>0.6534</v>
      </c>
      <c r="O25" s="14">
        <v>474186.89</v>
      </c>
      <c r="P25" s="16">
        <v>-414718.25</v>
      </c>
    </row>
    <row r="26" ht="15" customHeight="1">
      <c r="A26" s="13">
        <v>46357</v>
      </c>
      <c r="B26" s="15" t="s">
        <v>39</v>
      </c>
      <c r="C26" s="15" t="s">
        <v>37</v>
      </c>
      <c r="D26" s="15" t="s">
        <v>40</v>
      </c>
      <c r="E26" s="15">
        <v>23891</v>
      </c>
      <c r="F26" s="15">
        <v>384</v>
      </c>
      <c r="G26" s="17">
        <v>221976213.46</v>
      </c>
      <c r="H26" s="17">
        <v>212290685</v>
      </c>
      <c r="I26" s="15">
        <v>0.06343</v>
      </c>
      <c r="J26" s="17">
        <v>0.03156</v>
      </c>
      <c r="K26" s="17">
        <v>150186.7</v>
      </c>
      <c r="L26" s="17">
        <v>899307.53</v>
      </c>
      <c r="M26" s="17">
        <v>158745.07</v>
      </c>
      <c r="N26" s="19">
        <v>0.6678</v>
      </c>
      <c r="O26" s="15">
        <v>538331.39</v>
      </c>
      <c r="P26" s="17">
        <v>-369534.51</v>
      </c>
    </row>
    <row r="27" ht="15" customHeight="1">
      <c r="A27" s="12">
        <v>46023</v>
      </c>
      <c r="B27" s="14" t="s">
        <v>41</v>
      </c>
      <c r="C27" s="14" t="s">
        <v>37</v>
      </c>
      <c r="D27" s="14" t="s">
        <v>42</v>
      </c>
      <c r="E27" s="14">
        <v>14434</v>
      </c>
      <c r="F27" s="14">
        <v>259</v>
      </c>
      <c r="G27" s="16">
        <v>484073861.76</v>
      </c>
      <c r="H27" s="16">
        <v>344270072.31</v>
      </c>
      <c r="I27" s="14">
        <v>0.06701</v>
      </c>
      <c r="J27" s="16">
        <v>0.03515</v>
      </c>
      <c r="K27" s="16">
        <v>246824.44</v>
      </c>
      <c r="L27" s="16">
        <v>647767.46</v>
      </c>
      <c r="M27" s="16">
        <v>68854.01</v>
      </c>
      <c r="N27" s="18">
        <v>0.4149</v>
      </c>
      <c r="O27" s="14">
        <v>504383.11</v>
      </c>
      <c r="P27" s="16">
        <v>34586.08</v>
      </c>
    </row>
    <row r="28" ht="15" customHeight="1">
      <c r="A28" s="13">
        <v>46054</v>
      </c>
      <c r="B28" s="15" t="s">
        <v>41</v>
      </c>
      <c r="C28" s="15" t="s">
        <v>37</v>
      </c>
      <c r="D28" s="15" t="s">
        <v>42</v>
      </c>
      <c r="E28" s="15">
        <v>14437</v>
      </c>
      <c r="F28" s="15">
        <v>281</v>
      </c>
      <c r="G28" s="17">
        <v>489560419.47</v>
      </c>
      <c r="H28" s="17">
        <v>337615597.57</v>
      </c>
      <c r="I28" s="15">
        <v>0.05767</v>
      </c>
      <c r="J28" s="17">
        <v>0.03546</v>
      </c>
      <c r="K28" s="17">
        <v>367772.11</v>
      </c>
      <c r="L28" s="17">
        <v>678663.7</v>
      </c>
      <c r="M28" s="17">
        <v>307309.06</v>
      </c>
      <c r="N28" s="19">
        <v>0.4229</v>
      </c>
      <c r="O28" s="15">
        <v>175930.01</v>
      </c>
      <c r="P28" s="17">
        <v>-442270.64</v>
      </c>
    </row>
    <row r="29" ht="15" customHeight="1">
      <c r="A29" s="12">
        <v>46082</v>
      </c>
      <c r="B29" s="14" t="s">
        <v>41</v>
      </c>
      <c r="C29" s="14" t="s">
        <v>37</v>
      </c>
      <c r="D29" s="14" t="s">
        <v>42</v>
      </c>
      <c r="E29" s="14">
        <v>14469</v>
      </c>
      <c r="F29" s="14">
        <v>242</v>
      </c>
      <c r="G29" s="16">
        <v>480980962.11</v>
      </c>
      <c r="H29" s="16">
        <v>330087942.81</v>
      </c>
      <c r="I29" s="14">
        <v>0.065</v>
      </c>
      <c r="J29" s="16">
        <v>0.02565</v>
      </c>
      <c r="K29" s="16">
        <v>249599.04</v>
      </c>
      <c r="L29" s="16">
        <v>793563.58</v>
      </c>
      <c r="M29" s="16">
        <v>425491.92</v>
      </c>
      <c r="N29" s="18">
        <v>0.4691</v>
      </c>
      <c r="O29" s="14">
        <v>760151.82</v>
      </c>
      <c r="P29" s="16">
        <v>-209304.63</v>
      </c>
    </row>
    <row r="30" ht="15" customHeight="1">
      <c r="A30" s="13">
        <v>46113</v>
      </c>
      <c r="B30" s="15" t="s">
        <v>41</v>
      </c>
      <c r="C30" s="15" t="s">
        <v>37</v>
      </c>
      <c r="D30" s="15" t="s">
        <v>42</v>
      </c>
      <c r="E30" s="15">
        <v>14429</v>
      </c>
      <c r="F30" s="15">
        <v>213</v>
      </c>
      <c r="G30" s="17">
        <v>510108931.61</v>
      </c>
      <c r="H30" s="17">
        <v>329089377.06</v>
      </c>
      <c r="I30" s="15">
        <v>0.06059</v>
      </c>
      <c r="J30" s="17">
        <v>0.02563</v>
      </c>
      <c r="K30" s="17">
        <v>345927.71</v>
      </c>
      <c r="L30" s="17">
        <v>703846.19</v>
      </c>
      <c r="M30" s="17">
        <v>399425.59</v>
      </c>
      <c r="N30" s="19">
        <v>0.4724</v>
      </c>
      <c r="O30" s="15">
        <v>572194.31</v>
      </c>
      <c r="P30" s="17">
        <v>-185149.76</v>
      </c>
    </row>
    <row r="31" ht="15" customHeight="1">
      <c r="A31" s="12">
        <v>46143</v>
      </c>
      <c r="B31" s="14" t="s">
        <v>41</v>
      </c>
      <c r="C31" s="14" t="s">
        <v>37</v>
      </c>
      <c r="D31" s="14" t="s">
        <v>42</v>
      </c>
      <c r="E31" s="14">
        <v>14604</v>
      </c>
      <c r="F31" s="14">
        <v>275</v>
      </c>
      <c r="G31" s="16">
        <v>494417757.78</v>
      </c>
      <c r="H31" s="16">
        <v>321381417.01</v>
      </c>
      <c r="I31" s="14">
        <v>0.06705</v>
      </c>
      <c r="J31" s="16">
        <v>0.03055</v>
      </c>
      <c r="K31" s="16">
        <v>326950.23</v>
      </c>
      <c r="L31" s="16">
        <v>681602.32</v>
      </c>
      <c r="M31" s="16">
        <v>380800.67</v>
      </c>
      <c r="N31" s="18">
        <v>0.4962</v>
      </c>
      <c r="O31" s="14">
        <v>536780.4</v>
      </c>
      <c r="P31" s="16">
        <v>-198672.35</v>
      </c>
    </row>
    <row r="32" ht="15" customHeight="1">
      <c r="A32" s="13">
        <v>46174</v>
      </c>
      <c r="B32" s="15" t="s">
        <v>41</v>
      </c>
      <c r="C32" s="15" t="s">
        <v>37</v>
      </c>
      <c r="D32" s="15" t="s">
        <v>42</v>
      </c>
      <c r="E32" s="15">
        <v>14734</v>
      </c>
      <c r="F32" s="15">
        <v>252</v>
      </c>
      <c r="G32" s="17">
        <v>500189259.94</v>
      </c>
      <c r="H32" s="17">
        <v>335691939.23</v>
      </c>
      <c r="I32" s="15">
        <v>0.05776</v>
      </c>
      <c r="J32" s="17">
        <v>0.03405</v>
      </c>
      <c r="K32" s="17">
        <v>266528.59</v>
      </c>
      <c r="L32" s="17">
        <v>686935.94</v>
      </c>
      <c r="M32" s="17">
        <v>402406.48</v>
      </c>
      <c r="N32" s="19">
        <v>0.4982</v>
      </c>
      <c r="O32" s="15">
        <v>196408.27</v>
      </c>
      <c r="P32" s="17">
        <v>-626405.56</v>
      </c>
    </row>
    <row r="33" ht="15" customHeight="1">
      <c r="A33" s="12">
        <v>46204</v>
      </c>
      <c r="B33" s="14" t="s">
        <v>41</v>
      </c>
      <c r="C33" s="14" t="s">
        <v>37</v>
      </c>
      <c r="D33" s="14" t="s">
        <v>42</v>
      </c>
      <c r="E33" s="14">
        <v>14520</v>
      </c>
      <c r="F33" s="14">
        <v>315</v>
      </c>
      <c r="G33" s="16">
        <v>485389148.75</v>
      </c>
      <c r="H33" s="16">
        <v>338169460.52</v>
      </c>
      <c r="I33" s="14">
        <v>0.06698</v>
      </c>
      <c r="J33" s="16">
        <v>0.02967</v>
      </c>
      <c r="K33" s="16">
        <v>285417.4</v>
      </c>
      <c r="L33" s="16">
        <v>673907.15</v>
      </c>
      <c r="M33" s="16">
        <v>136533.12</v>
      </c>
      <c r="N33" s="18">
        <v>0.5067</v>
      </c>
      <c r="O33" s="14">
        <v>687406.7</v>
      </c>
      <c r="P33" s="16">
        <v>162383.83</v>
      </c>
    </row>
    <row r="34" ht="15" customHeight="1">
      <c r="A34" s="13">
        <v>46235</v>
      </c>
      <c r="B34" s="15" t="s">
        <v>41</v>
      </c>
      <c r="C34" s="15" t="s">
        <v>37</v>
      </c>
      <c r="D34" s="15" t="s">
        <v>42</v>
      </c>
      <c r="E34" s="15">
        <v>14765</v>
      </c>
      <c r="F34" s="15">
        <v>287</v>
      </c>
      <c r="G34" s="17">
        <v>481332192.34</v>
      </c>
      <c r="H34" s="17">
        <v>332676348.15</v>
      </c>
      <c r="I34" s="15">
        <v>0.06196</v>
      </c>
      <c r="J34" s="17">
        <v>0.03008</v>
      </c>
      <c r="K34" s="17">
        <v>310927.01</v>
      </c>
      <c r="L34" s="17">
        <v>625333.66</v>
      </c>
      <c r="M34" s="17">
        <v>291914.21</v>
      </c>
      <c r="N34" s="19">
        <v>0.516</v>
      </c>
      <c r="O34" s="15">
        <v>510971.04</v>
      </c>
      <c r="P34" s="17">
        <v>-95349.82</v>
      </c>
    </row>
    <row r="35" ht="15" customHeight="1">
      <c r="A35" s="12">
        <v>46266</v>
      </c>
      <c r="B35" s="14" t="s">
        <v>41</v>
      </c>
      <c r="C35" s="14" t="s">
        <v>37</v>
      </c>
      <c r="D35" s="14" t="s">
        <v>42</v>
      </c>
      <c r="E35" s="14">
        <v>14579</v>
      </c>
      <c r="F35" s="14">
        <v>273</v>
      </c>
      <c r="G35" s="16">
        <v>481135651.46</v>
      </c>
      <c r="H35" s="16">
        <v>346366216.89</v>
      </c>
      <c r="I35" s="14">
        <v>0.06496</v>
      </c>
      <c r="J35" s="16">
        <v>0.03272</v>
      </c>
      <c r="K35" s="16">
        <v>227320.93</v>
      </c>
      <c r="L35" s="16">
        <v>759722.84</v>
      </c>
      <c r="M35" s="16">
        <v>158342.91</v>
      </c>
      <c r="N35" s="18">
        <v>0.5241</v>
      </c>
      <c r="O35" s="14">
        <v>563110.82</v>
      </c>
      <c r="P35" s="16">
        <v>-127634</v>
      </c>
    </row>
    <row r="36" ht="15" customHeight="1">
      <c r="A36" s="13">
        <v>46296</v>
      </c>
      <c r="B36" s="15" t="s">
        <v>41</v>
      </c>
      <c r="C36" s="15" t="s">
        <v>37</v>
      </c>
      <c r="D36" s="15" t="s">
        <v>42</v>
      </c>
      <c r="E36" s="15">
        <v>14877</v>
      </c>
      <c r="F36" s="15">
        <v>234</v>
      </c>
      <c r="G36" s="17">
        <v>484156779.99</v>
      </c>
      <c r="H36" s="17">
        <v>348353280.29</v>
      </c>
      <c r="I36" s="15">
        <v>0.06761</v>
      </c>
      <c r="J36" s="17">
        <v>0.02699</v>
      </c>
      <c r="K36" s="17">
        <v>219558.81</v>
      </c>
      <c r="L36" s="17">
        <v>601735.7</v>
      </c>
      <c r="M36" s="17">
        <v>547843.47</v>
      </c>
      <c r="N36" s="19">
        <v>0.5333</v>
      </c>
      <c r="O36" s="15">
        <v>873728.46</v>
      </c>
      <c r="P36" s="17">
        <v>-56291.9</v>
      </c>
    </row>
    <row r="37" ht="15" customHeight="1">
      <c r="A37" s="12">
        <v>46327</v>
      </c>
      <c r="B37" s="14" t="s">
        <v>41</v>
      </c>
      <c r="C37" s="14" t="s">
        <v>37</v>
      </c>
      <c r="D37" s="14" t="s">
        <v>42</v>
      </c>
      <c r="E37" s="14">
        <v>14899</v>
      </c>
      <c r="F37" s="14">
        <v>266</v>
      </c>
      <c r="G37" s="16">
        <v>495638687.39</v>
      </c>
      <c r="H37" s="16">
        <v>344720607.04</v>
      </c>
      <c r="I37" s="14">
        <v>0.06268</v>
      </c>
      <c r="J37" s="16">
        <v>0.03491</v>
      </c>
      <c r="K37" s="16">
        <v>312565.1</v>
      </c>
      <c r="L37" s="16">
        <v>706871.25</v>
      </c>
      <c r="M37" s="16">
        <v>147048.14</v>
      </c>
      <c r="N37" s="18">
        <v>0.5561</v>
      </c>
      <c r="O37" s="14">
        <v>358538.6</v>
      </c>
      <c r="P37" s="16">
        <v>-182815.68</v>
      </c>
    </row>
    <row r="38" ht="15" customHeight="1">
      <c r="A38" s="13">
        <v>46357</v>
      </c>
      <c r="B38" s="15" t="s">
        <v>41</v>
      </c>
      <c r="C38" s="15" t="s">
        <v>37</v>
      </c>
      <c r="D38" s="15" t="s">
        <v>42</v>
      </c>
      <c r="E38" s="15">
        <v>15187</v>
      </c>
      <c r="F38" s="15">
        <v>275</v>
      </c>
      <c r="G38" s="17">
        <v>509214271.98</v>
      </c>
      <c r="H38" s="17">
        <v>346219399.1</v>
      </c>
      <c r="I38" s="15">
        <v>0.06528</v>
      </c>
      <c r="J38" s="17">
        <v>0.03535</v>
      </c>
      <c r="K38" s="17">
        <v>324306.75</v>
      </c>
      <c r="L38" s="17">
        <v>686126.92</v>
      </c>
      <c r="M38" s="17">
        <v>725363.39</v>
      </c>
      <c r="N38" s="19">
        <v>0.5654</v>
      </c>
      <c r="O38" s="15">
        <v>383404.91</v>
      </c>
      <c r="P38" s="17">
        <v>-703778.65</v>
      </c>
    </row>
    <row r="39" ht="15" customHeight="1">
      <c r="A39" s="12">
        <v>46023</v>
      </c>
      <c r="B39" s="14" t="s">
        <v>43</v>
      </c>
      <c r="C39" s="14" t="s">
        <v>44</v>
      </c>
      <c r="D39" s="14" t="s">
        <v>38</v>
      </c>
      <c r="E39" s="14">
        <v>10389</v>
      </c>
      <c r="F39" s="14">
        <v>187</v>
      </c>
      <c r="G39" s="16">
        <v>398303804.37</v>
      </c>
      <c r="H39" s="16">
        <v>202252444.81</v>
      </c>
      <c r="I39" s="14">
        <v>0.06984</v>
      </c>
      <c r="J39" s="16">
        <v>0.03452</v>
      </c>
      <c r="K39" s="16">
        <v>302152.32</v>
      </c>
      <c r="L39" s="16">
        <v>699364.61</v>
      </c>
      <c r="M39" s="16">
        <v>218094.24</v>
      </c>
      <c r="N39" s="18">
        <v>0.6391</v>
      </c>
      <c r="O39" s="14">
        <v>31412.76</v>
      </c>
      <c r="P39" s="16">
        <v>-583893.78</v>
      </c>
    </row>
    <row r="40" ht="15" customHeight="1">
      <c r="A40" s="13">
        <v>46054</v>
      </c>
      <c r="B40" s="15" t="s">
        <v>43</v>
      </c>
      <c r="C40" s="15" t="s">
        <v>44</v>
      </c>
      <c r="D40" s="15" t="s">
        <v>38</v>
      </c>
      <c r="E40" s="15">
        <v>10281</v>
      </c>
      <c r="F40" s="15">
        <v>129</v>
      </c>
      <c r="G40" s="17">
        <v>394813672.32</v>
      </c>
      <c r="H40" s="17">
        <v>198927014.2</v>
      </c>
      <c r="I40" s="15">
        <v>0.06138</v>
      </c>
      <c r="J40" s="17">
        <v>0.03134</v>
      </c>
      <c r="K40" s="17">
        <v>259001.52</v>
      </c>
      <c r="L40" s="17">
        <v>633399.96</v>
      </c>
      <c r="M40" s="17">
        <v>142045.53</v>
      </c>
      <c r="N40" s="19">
        <v>0.6803</v>
      </c>
      <c r="O40" s="15">
        <v>-13624.12</v>
      </c>
      <c r="P40" s="17">
        <v>-530068.08</v>
      </c>
    </row>
    <row r="41" ht="15" customHeight="1">
      <c r="A41" s="12">
        <v>46082</v>
      </c>
      <c r="B41" s="14" t="s">
        <v>43</v>
      </c>
      <c r="C41" s="14" t="s">
        <v>44</v>
      </c>
      <c r="D41" s="14" t="s">
        <v>38</v>
      </c>
      <c r="E41" s="14">
        <v>10263</v>
      </c>
      <c r="F41" s="14">
        <v>193</v>
      </c>
      <c r="G41" s="16">
        <v>422805142.34</v>
      </c>
      <c r="H41" s="16">
        <v>197104181.41</v>
      </c>
      <c r="I41" s="14">
        <v>0.06611</v>
      </c>
      <c r="J41" s="16">
        <v>0.0327</v>
      </c>
      <c r="K41" s="16">
        <v>310455.18</v>
      </c>
      <c r="L41" s="16">
        <v>789185.08</v>
      </c>
      <c r="M41" s="16">
        <v>191140.04</v>
      </c>
      <c r="N41" s="18">
        <v>0.6689</v>
      </c>
      <c r="O41" s="14">
        <v>-66077.24</v>
      </c>
      <c r="P41" s="16">
        <v>-735947.17</v>
      </c>
    </row>
    <row r="42" ht="15" customHeight="1">
      <c r="A42" s="13">
        <v>46113</v>
      </c>
      <c r="B42" s="15" t="s">
        <v>43</v>
      </c>
      <c r="C42" s="15" t="s">
        <v>44</v>
      </c>
      <c r="D42" s="15" t="s">
        <v>38</v>
      </c>
      <c r="E42" s="15">
        <v>10585</v>
      </c>
      <c r="F42" s="15">
        <v>169</v>
      </c>
      <c r="G42" s="17">
        <v>399566156.78</v>
      </c>
      <c r="H42" s="17">
        <v>204666414.66</v>
      </c>
      <c r="I42" s="15">
        <v>0.06654</v>
      </c>
      <c r="J42" s="17">
        <v>0.02872</v>
      </c>
      <c r="K42" s="17">
        <v>252871.46</v>
      </c>
      <c r="L42" s="17">
        <v>611359.1</v>
      </c>
      <c r="M42" s="17">
        <v>206460.16</v>
      </c>
      <c r="N42" s="19">
        <v>0.6646</v>
      </c>
      <c r="O42" s="15">
        <v>178600.79</v>
      </c>
      <c r="P42" s="17">
        <v>-386347.01</v>
      </c>
    </row>
    <row r="43" ht="15" customHeight="1">
      <c r="A43" s="12">
        <v>46143</v>
      </c>
      <c r="B43" s="14" t="s">
        <v>43</v>
      </c>
      <c r="C43" s="14" t="s">
        <v>44</v>
      </c>
      <c r="D43" s="14" t="s">
        <v>38</v>
      </c>
      <c r="E43" s="14">
        <v>10459</v>
      </c>
      <c r="F43" s="14">
        <v>154</v>
      </c>
      <c r="G43" s="16">
        <v>411604800.07</v>
      </c>
      <c r="H43" s="16">
        <v>204634814.99</v>
      </c>
      <c r="I43" s="14">
        <v>0.07002</v>
      </c>
      <c r="J43" s="16">
        <v>0.03159</v>
      </c>
      <c r="K43" s="16">
        <v>222711.98</v>
      </c>
      <c r="L43" s="16">
        <v>613779.46</v>
      </c>
      <c r="M43" s="16">
        <v>165127.66</v>
      </c>
      <c r="N43" s="18">
        <v>0.6883</v>
      </c>
      <c r="O43" s="14">
        <v>110667.56</v>
      </c>
      <c r="P43" s="16">
        <v>-445527.58</v>
      </c>
    </row>
    <row r="44" ht="15" customHeight="1">
      <c r="A44" s="13">
        <v>46174</v>
      </c>
      <c r="B44" s="15" t="s">
        <v>43</v>
      </c>
      <c r="C44" s="15" t="s">
        <v>44</v>
      </c>
      <c r="D44" s="15" t="s">
        <v>38</v>
      </c>
      <c r="E44" s="15">
        <v>10460</v>
      </c>
      <c r="F44" s="15">
        <v>184</v>
      </c>
      <c r="G44" s="17">
        <v>406623608.28</v>
      </c>
      <c r="H44" s="17">
        <v>206123814.11</v>
      </c>
      <c r="I44" s="15">
        <v>0.06549</v>
      </c>
      <c r="J44" s="17">
        <v>0.03535</v>
      </c>
      <c r="K44" s="17">
        <v>272937.68</v>
      </c>
      <c r="L44" s="17">
        <v>734365.62</v>
      </c>
      <c r="M44" s="17">
        <v>286081.94</v>
      </c>
      <c r="N44" s="19">
        <v>0.7102</v>
      </c>
      <c r="O44" s="15">
        <v>-72950.86</v>
      </c>
      <c r="P44" s="17">
        <v>-820460.73</v>
      </c>
    </row>
    <row r="45" ht="15" customHeight="1">
      <c r="A45" s="12">
        <v>46204</v>
      </c>
      <c r="B45" s="14" t="s">
        <v>43</v>
      </c>
      <c r="C45" s="14" t="s">
        <v>44</v>
      </c>
      <c r="D45" s="14" t="s">
        <v>38</v>
      </c>
      <c r="E45" s="14">
        <v>10410</v>
      </c>
      <c r="F45" s="14">
        <v>168</v>
      </c>
      <c r="G45" s="16">
        <v>408972401.25</v>
      </c>
      <c r="H45" s="16">
        <v>206401341.96</v>
      </c>
      <c r="I45" s="14">
        <v>0.07048</v>
      </c>
      <c r="J45" s="16">
        <v>0.02966</v>
      </c>
      <c r="K45" s="16">
        <v>266528.44</v>
      </c>
      <c r="L45" s="16">
        <v>643448.47</v>
      </c>
      <c r="M45" s="16">
        <v>231636.02</v>
      </c>
      <c r="N45" s="18">
        <v>0.7258</v>
      </c>
      <c r="O45" s="14">
        <v>201415.47</v>
      </c>
      <c r="P45" s="16">
        <v>-407140.58</v>
      </c>
    </row>
    <row r="46" ht="15" customHeight="1">
      <c r="A46" s="13">
        <v>46235</v>
      </c>
      <c r="B46" s="15" t="s">
        <v>43</v>
      </c>
      <c r="C46" s="15" t="s">
        <v>44</v>
      </c>
      <c r="D46" s="15" t="s">
        <v>38</v>
      </c>
      <c r="E46" s="15">
        <v>10593</v>
      </c>
      <c r="F46" s="15">
        <v>171</v>
      </c>
      <c r="G46" s="17">
        <v>398027555.59</v>
      </c>
      <c r="H46" s="17">
        <v>199616496.49</v>
      </c>
      <c r="I46" s="15">
        <v>0.06119</v>
      </c>
      <c r="J46" s="17">
        <v>0.02738</v>
      </c>
      <c r="K46" s="17">
        <v>235631.44</v>
      </c>
      <c r="L46" s="17">
        <v>658422.62</v>
      </c>
      <c r="M46" s="17">
        <v>300353.59</v>
      </c>
      <c r="N46" s="19">
        <v>0.7293</v>
      </c>
      <c r="O46" s="15">
        <v>109536.3</v>
      </c>
      <c r="P46" s="17">
        <v>-613608.47</v>
      </c>
    </row>
    <row r="47" ht="15" customHeight="1">
      <c r="A47" s="12">
        <v>46266</v>
      </c>
      <c r="B47" s="14" t="s">
        <v>43</v>
      </c>
      <c r="C47" s="14" t="s">
        <v>44</v>
      </c>
      <c r="D47" s="14" t="s">
        <v>38</v>
      </c>
      <c r="E47" s="14">
        <v>10406</v>
      </c>
      <c r="F47" s="14">
        <v>162</v>
      </c>
      <c r="G47" s="16">
        <v>390588488.07</v>
      </c>
      <c r="H47" s="16">
        <v>198572167.47</v>
      </c>
      <c r="I47" s="14">
        <v>0.05975</v>
      </c>
      <c r="J47" s="16">
        <v>0.02867</v>
      </c>
      <c r="K47" s="16">
        <v>271268.24</v>
      </c>
      <c r="L47" s="16">
        <v>559267.22</v>
      </c>
      <c r="M47" s="16">
        <v>285009.13</v>
      </c>
      <c r="N47" s="18">
        <v>0.7329</v>
      </c>
      <c r="O47" s="14">
        <v>55592.91</v>
      </c>
      <c r="P47" s="16">
        <v>-517415.19</v>
      </c>
    </row>
    <row r="48" ht="15" customHeight="1">
      <c r="A48" s="13">
        <v>46296</v>
      </c>
      <c r="B48" s="15" t="s">
        <v>43</v>
      </c>
      <c r="C48" s="15" t="s">
        <v>44</v>
      </c>
      <c r="D48" s="15" t="s">
        <v>38</v>
      </c>
      <c r="E48" s="15">
        <v>10703</v>
      </c>
      <c r="F48" s="15">
        <v>183</v>
      </c>
      <c r="G48" s="17">
        <v>400770840.46</v>
      </c>
      <c r="H48" s="17">
        <v>208369438.6</v>
      </c>
      <c r="I48" s="15">
        <v>0.06051</v>
      </c>
      <c r="J48" s="17">
        <v>0.02673</v>
      </c>
      <c r="K48" s="17">
        <v>258175.01</v>
      </c>
      <c r="L48" s="17">
        <v>655762.12</v>
      </c>
      <c r="M48" s="17">
        <v>126240.22</v>
      </c>
      <c r="N48" s="19">
        <v>0.7674</v>
      </c>
      <c r="O48" s="15">
        <v>157929.76</v>
      </c>
      <c r="P48" s="17">
        <v>-365897.56</v>
      </c>
    </row>
    <row r="49" ht="15" customHeight="1">
      <c r="A49" s="12">
        <v>46327</v>
      </c>
      <c r="B49" s="14" t="s">
        <v>43</v>
      </c>
      <c r="C49" s="14" t="s">
        <v>44</v>
      </c>
      <c r="D49" s="14" t="s">
        <v>38</v>
      </c>
      <c r="E49" s="14">
        <v>10599</v>
      </c>
      <c r="F49" s="14">
        <v>127</v>
      </c>
      <c r="G49" s="16">
        <v>404801590.59</v>
      </c>
      <c r="H49" s="16">
        <v>206713616.64</v>
      </c>
      <c r="I49" s="14">
        <v>0.0595</v>
      </c>
      <c r="J49" s="16">
        <v>0.03076</v>
      </c>
      <c r="K49" s="16">
        <v>278842.96</v>
      </c>
      <c r="L49" s="16">
        <v>650628.12</v>
      </c>
      <c r="M49" s="16">
        <v>201639.84</v>
      </c>
      <c r="N49" s="18">
        <v>0.7782</v>
      </c>
      <c r="O49" s="14">
        <v>-12564.82</v>
      </c>
      <c r="P49" s="16">
        <v>-585989.81</v>
      </c>
    </row>
    <row r="50" ht="15" customHeight="1">
      <c r="A50" s="13">
        <v>46357</v>
      </c>
      <c r="B50" s="15" t="s">
        <v>43</v>
      </c>
      <c r="C50" s="15" t="s">
        <v>44</v>
      </c>
      <c r="D50" s="15" t="s">
        <v>38</v>
      </c>
      <c r="E50" s="15">
        <v>10407</v>
      </c>
      <c r="F50" s="15">
        <v>131</v>
      </c>
      <c r="G50" s="17">
        <v>415930646.88</v>
      </c>
      <c r="H50" s="17">
        <v>208950747.8</v>
      </c>
      <c r="I50" s="15">
        <v>0.06461</v>
      </c>
      <c r="J50" s="17">
        <v>0.03045</v>
      </c>
      <c r="K50" s="17">
        <v>253530.62</v>
      </c>
      <c r="L50" s="17">
        <v>658561.18</v>
      </c>
      <c r="M50" s="17">
        <v>199472.89</v>
      </c>
      <c r="N50" s="19">
        <v>0.7931</v>
      </c>
      <c r="O50" s="15">
        <v>69736.62</v>
      </c>
      <c r="P50" s="17">
        <v>-534766.83</v>
      </c>
    </row>
    <row r="51" ht="15" customHeight="1">
      <c r="A51" s="12">
        <v>46023</v>
      </c>
      <c r="B51" s="14" t="s">
        <v>45</v>
      </c>
      <c r="C51" s="14" t="s">
        <v>46</v>
      </c>
      <c r="D51" s="14" t="s">
        <v>40</v>
      </c>
      <c r="E51" s="14">
        <v>14061</v>
      </c>
      <c r="F51" s="14">
        <v>251</v>
      </c>
      <c r="G51" s="16">
        <v>339298236.9</v>
      </c>
      <c r="H51" s="16">
        <v>421606877.06</v>
      </c>
      <c r="I51" s="14">
        <v>0.06512</v>
      </c>
      <c r="J51" s="16">
        <v>0.02491</v>
      </c>
      <c r="K51" s="16">
        <v>221947.58</v>
      </c>
      <c r="L51" s="16">
        <v>665722.66</v>
      </c>
      <c r="M51" s="16">
        <v>516697.4</v>
      </c>
      <c r="N51" s="18">
        <v>0.5859</v>
      </c>
      <c r="O51" s="14">
        <v>1583471.9</v>
      </c>
      <c r="P51" s="16">
        <v>622999.42</v>
      </c>
    </row>
    <row r="52" ht="15" customHeight="1">
      <c r="A52" s="13">
        <v>46054</v>
      </c>
      <c r="B52" s="15" t="s">
        <v>45</v>
      </c>
      <c r="C52" s="15" t="s">
        <v>46</v>
      </c>
      <c r="D52" s="15" t="s">
        <v>40</v>
      </c>
      <c r="E52" s="15">
        <v>14032</v>
      </c>
      <c r="F52" s="15">
        <v>281</v>
      </c>
      <c r="G52" s="17">
        <v>339045921.05</v>
      </c>
      <c r="H52" s="17">
        <v>419976755.58</v>
      </c>
      <c r="I52" s="15">
        <v>0.06762</v>
      </c>
      <c r="J52" s="17">
        <v>0.03114</v>
      </c>
      <c r="K52" s="17">
        <v>206533.03</v>
      </c>
      <c r="L52" s="17">
        <v>734230.24</v>
      </c>
      <c r="M52" s="17">
        <v>449819.73</v>
      </c>
      <c r="N52" s="19">
        <v>0.5485</v>
      </c>
      <c r="O52" s="15">
        <v>1486791.91</v>
      </c>
      <c r="P52" s="17">
        <v>509274.97</v>
      </c>
    </row>
    <row r="53" ht="15" customHeight="1">
      <c r="A53" s="12">
        <v>46082</v>
      </c>
      <c r="B53" s="14" t="s">
        <v>45</v>
      </c>
      <c r="C53" s="14" t="s">
        <v>46</v>
      </c>
      <c r="D53" s="14" t="s">
        <v>40</v>
      </c>
      <c r="E53" s="14">
        <v>14298</v>
      </c>
      <c r="F53" s="14">
        <v>322</v>
      </c>
      <c r="G53" s="16">
        <v>347248362.43</v>
      </c>
      <c r="H53" s="16">
        <v>425291820.19</v>
      </c>
      <c r="I53" s="14">
        <v>0.07297</v>
      </c>
      <c r="J53" s="16">
        <v>0.03618</v>
      </c>
      <c r="K53" s="16">
        <v>221697.71</v>
      </c>
      <c r="L53" s="16">
        <v>767264.22</v>
      </c>
      <c r="M53" s="16">
        <v>529071.42</v>
      </c>
      <c r="N53" s="18">
        <v>0.5887</v>
      </c>
      <c r="O53" s="14">
        <v>1539112.7</v>
      </c>
      <c r="P53" s="16">
        <v>464474.77</v>
      </c>
    </row>
    <row r="54" ht="15" customHeight="1">
      <c r="A54" s="13">
        <v>46113</v>
      </c>
      <c r="B54" s="15" t="s">
        <v>45</v>
      </c>
      <c r="C54" s="15" t="s">
        <v>46</v>
      </c>
      <c r="D54" s="15" t="s">
        <v>40</v>
      </c>
      <c r="E54" s="15">
        <v>14408</v>
      </c>
      <c r="F54" s="15">
        <v>200</v>
      </c>
      <c r="G54" s="17">
        <v>346459433.15</v>
      </c>
      <c r="H54" s="17">
        <v>437336272.8</v>
      </c>
      <c r="I54" s="15">
        <v>0.06219</v>
      </c>
      <c r="J54" s="17">
        <v>0.03537</v>
      </c>
      <c r="K54" s="17">
        <v>230654.54</v>
      </c>
      <c r="L54" s="17">
        <v>712092.47</v>
      </c>
      <c r="M54" s="17">
        <v>280509.59</v>
      </c>
      <c r="N54" s="19">
        <v>0.5955</v>
      </c>
      <c r="O54" s="15">
        <v>1245130.75</v>
      </c>
      <c r="P54" s="17">
        <v>483183.24</v>
      </c>
    </row>
    <row r="55" ht="15" customHeight="1">
      <c r="A55" s="12">
        <v>46143</v>
      </c>
      <c r="B55" s="14" t="s">
        <v>45</v>
      </c>
      <c r="C55" s="14" t="s">
        <v>46</v>
      </c>
      <c r="D55" s="14" t="s">
        <v>40</v>
      </c>
      <c r="E55" s="14">
        <v>14457</v>
      </c>
      <c r="F55" s="14">
        <v>232</v>
      </c>
      <c r="G55" s="16">
        <v>340640492.38</v>
      </c>
      <c r="H55" s="16">
        <v>427752464.32</v>
      </c>
      <c r="I55" s="14">
        <v>0.05842</v>
      </c>
      <c r="J55" s="16">
        <v>0.0317</v>
      </c>
      <c r="K55" s="16">
        <v>262370.44</v>
      </c>
      <c r="L55" s="16">
        <v>728786.01</v>
      </c>
      <c r="M55" s="16">
        <v>607448.41</v>
      </c>
      <c r="N55" s="18">
        <v>0.6108</v>
      </c>
      <c r="O55" s="14">
        <v>1182783.5</v>
      </c>
      <c r="P55" s="16">
        <v>108919.53</v>
      </c>
    </row>
    <row r="56" ht="15" customHeight="1">
      <c r="A56" s="13">
        <v>46174</v>
      </c>
      <c r="B56" s="15" t="s">
        <v>45</v>
      </c>
      <c r="C56" s="15" t="s">
        <v>46</v>
      </c>
      <c r="D56" s="15" t="s">
        <v>40</v>
      </c>
      <c r="E56" s="15">
        <v>14496</v>
      </c>
      <c r="F56" s="15">
        <v>243</v>
      </c>
      <c r="G56" s="17">
        <v>342057083.85</v>
      </c>
      <c r="H56" s="17">
        <v>417308611.68</v>
      </c>
      <c r="I56" s="15">
        <v>0.06682</v>
      </c>
      <c r="J56" s="17">
        <v>0.02961</v>
      </c>
      <c r="K56" s="17">
        <v>202904.24</v>
      </c>
      <c r="L56" s="17">
        <v>675756.75</v>
      </c>
      <c r="M56" s="17">
        <v>299536.48</v>
      </c>
      <c r="N56" s="19">
        <v>0.6247</v>
      </c>
      <c r="O56" s="15">
        <v>1479922.57</v>
      </c>
      <c r="P56" s="17">
        <v>707533.58</v>
      </c>
    </row>
    <row r="57" ht="15" customHeight="1">
      <c r="A57" s="12">
        <v>46204</v>
      </c>
      <c r="B57" s="14" t="s">
        <v>45</v>
      </c>
      <c r="C57" s="14" t="s">
        <v>46</v>
      </c>
      <c r="D57" s="14" t="s">
        <v>40</v>
      </c>
      <c r="E57" s="14">
        <v>14542</v>
      </c>
      <c r="F57" s="14">
        <v>220</v>
      </c>
      <c r="G57" s="16">
        <v>326094002.47</v>
      </c>
      <c r="H57" s="16">
        <v>430130560.53</v>
      </c>
      <c r="I57" s="14">
        <v>0.05929</v>
      </c>
      <c r="J57" s="16">
        <v>0.03256</v>
      </c>
      <c r="K57" s="16">
        <v>240630.21</v>
      </c>
      <c r="L57" s="16">
        <v>725575.48</v>
      </c>
      <c r="M57" s="16">
        <v>458768.04</v>
      </c>
      <c r="N57" s="18">
        <v>0.6464</v>
      </c>
      <c r="O57" s="14">
        <v>1240310.65</v>
      </c>
      <c r="P57" s="16">
        <v>296597.34</v>
      </c>
    </row>
    <row r="58" ht="15" customHeight="1">
      <c r="A58" s="13">
        <v>46235</v>
      </c>
      <c r="B58" s="15" t="s">
        <v>45</v>
      </c>
      <c r="C58" s="15" t="s">
        <v>46</v>
      </c>
      <c r="D58" s="15" t="s">
        <v>40</v>
      </c>
      <c r="E58" s="15">
        <v>14417</v>
      </c>
      <c r="F58" s="15">
        <v>271</v>
      </c>
      <c r="G58" s="17">
        <v>347446022.26</v>
      </c>
      <c r="H58" s="17">
        <v>444520503.65</v>
      </c>
      <c r="I58" s="15">
        <v>0.0666</v>
      </c>
      <c r="J58" s="17">
        <v>0.03194</v>
      </c>
      <c r="K58" s="17">
        <v>180375.12</v>
      </c>
      <c r="L58" s="17">
        <v>891184.37</v>
      </c>
      <c r="M58" s="17">
        <v>417525.03</v>
      </c>
      <c r="N58" s="19">
        <v>0.6445</v>
      </c>
      <c r="O58" s="15">
        <v>1542445.52</v>
      </c>
      <c r="P58" s="17">
        <v>414111.24</v>
      </c>
    </row>
    <row r="59" ht="15" customHeight="1">
      <c r="A59" s="12">
        <v>46266</v>
      </c>
      <c r="B59" s="14" t="s">
        <v>45</v>
      </c>
      <c r="C59" s="14" t="s">
        <v>46</v>
      </c>
      <c r="D59" s="14" t="s">
        <v>40</v>
      </c>
      <c r="E59" s="14">
        <v>14686</v>
      </c>
      <c r="F59" s="14">
        <v>291</v>
      </c>
      <c r="G59" s="16">
        <v>335573908.8</v>
      </c>
      <c r="H59" s="16">
        <v>438842561.05</v>
      </c>
      <c r="I59" s="14">
        <v>0.06868</v>
      </c>
      <c r="J59" s="16">
        <v>0.02857</v>
      </c>
      <c r="K59" s="16">
        <v>196753.82</v>
      </c>
      <c r="L59" s="16">
        <v>662187.79</v>
      </c>
      <c r="M59" s="16">
        <v>489804.1</v>
      </c>
      <c r="N59" s="18">
        <v>0.6358</v>
      </c>
      <c r="O59" s="14">
        <v>1712560.64</v>
      </c>
      <c r="P59" s="16">
        <v>757322.57</v>
      </c>
    </row>
    <row r="60" ht="15" customHeight="1">
      <c r="A60" s="13">
        <v>46296</v>
      </c>
      <c r="B60" s="15" t="s">
        <v>45</v>
      </c>
      <c r="C60" s="15" t="s">
        <v>46</v>
      </c>
      <c r="D60" s="15" t="s">
        <v>40</v>
      </c>
      <c r="E60" s="15">
        <v>14790</v>
      </c>
      <c r="F60" s="15">
        <v>287</v>
      </c>
      <c r="G60" s="17">
        <v>336436833.88</v>
      </c>
      <c r="H60" s="17">
        <v>414339853.09</v>
      </c>
      <c r="I60" s="15">
        <v>0.06329</v>
      </c>
      <c r="J60" s="17">
        <v>0.03403</v>
      </c>
      <c r="K60" s="17">
        <v>215297.39</v>
      </c>
      <c r="L60" s="17">
        <v>643964.81</v>
      </c>
      <c r="M60" s="17">
        <v>412432.55</v>
      </c>
      <c r="N60" s="19">
        <v>0.6706</v>
      </c>
      <c r="O60" s="15">
        <v>1231441.77</v>
      </c>
      <c r="P60" s="17">
        <v>390341.8</v>
      </c>
    </row>
    <row r="61" ht="15" customHeight="1">
      <c r="A61" s="12">
        <v>46327</v>
      </c>
      <c r="B61" s="14" t="s">
        <v>45</v>
      </c>
      <c r="C61" s="14" t="s">
        <v>46</v>
      </c>
      <c r="D61" s="14" t="s">
        <v>40</v>
      </c>
      <c r="E61" s="14">
        <v>14505</v>
      </c>
      <c r="F61" s="14">
        <v>260</v>
      </c>
      <c r="G61" s="16">
        <v>338134127.34</v>
      </c>
      <c r="H61" s="16">
        <v>433812654.6</v>
      </c>
      <c r="I61" s="14">
        <v>0.0598</v>
      </c>
      <c r="J61" s="16">
        <v>0.03437</v>
      </c>
      <c r="K61" s="16">
        <v>250306.81</v>
      </c>
      <c r="L61" s="16">
        <v>563414.93</v>
      </c>
      <c r="M61" s="16">
        <v>228279.88</v>
      </c>
      <c r="N61" s="18">
        <v>0.6844</v>
      </c>
      <c r="O61" s="14">
        <v>1193409.32</v>
      </c>
      <c r="P61" s="16">
        <v>652021.32</v>
      </c>
    </row>
    <row r="62" ht="15" customHeight="1">
      <c r="A62" s="13">
        <v>46357</v>
      </c>
      <c r="B62" s="15" t="s">
        <v>45</v>
      </c>
      <c r="C62" s="15" t="s">
        <v>46</v>
      </c>
      <c r="D62" s="15" t="s">
        <v>40</v>
      </c>
      <c r="E62" s="15">
        <v>14698</v>
      </c>
      <c r="F62" s="15">
        <v>249</v>
      </c>
      <c r="G62" s="17">
        <v>339955099.8</v>
      </c>
      <c r="H62" s="17">
        <v>441468431.45</v>
      </c>
      <c r="I62" s="15">
        <v>0.0671</v>
      </c>
      <c r="J62" s="17">
        <v>0.02785</v>
      </c>
      <c r="K62" s="17">
        <v>201917.08</v>
      </c>
      <c r="L62" s="17">
        <v>820129.72</v>
      </c>
      <c r="M62" s="17">
        <v>556581.42</v>
      </c>
      <c r="N62" s="19">
        <v>0.6865</v>
      </c>
      <c r="O62" s="15">
        <v>1679542.84</v>
      </c>
      <c r="P62" s="17">
        <v>504748.78</v>
      </c>
    </row>
    <row r="63" ht="15" customHeight="1">
      <c r="A63" s="12">
        <v>46023</v>
      </c>
      <c r="B63" s="14" t="s">
        <v>47</v>
      </c>
      <c r="C63" s="14" t="s">
        <v>48</v>
      </c>
      <c r="D63" s="14" t="s">
        <v>38</v>
      </c>
      <c r="E63" s="14">
        <v>19388</v>
      </c>
      <c r="F63" s="14">
        <v>266</v>
      </c>
      <c r="G63" s="16">
        <v>302781653.44</v>
      </c>
      <c r="H63" s="16">
        <v>138442999.61</v>
      </c>
      <c r="I63" s="14">
        <v>0.05918</v>
      </c>
      <c r="J63" s="16">
        <v>0.03087</v>
      </c>
      <c r="K63" s="16">
        <v>208398.8</v>
      </c>
      <c r="L63" s="16">
        <v>778448.99</v>
      </c>
      <c r="M63" s="16">
        <v>131311.23</v>
      </c>
      <c r="N63" s="18">
        <v>0.6721</v>
      </c>
      <c r="O63" s="14">
        <v>-96236.71</v>
      </c>
      <c r="P63" s="16">
        <v>-797598.13</v>
      </c>
    </row>
    <row r="64" ht="15" customHeight="1">
      <c r="A64" s="13">
        <v>46054</v>
      </c>
      <c r="B64" s="15" t="s">
        <v>47</v>
      </c>
      <c r="C64" s="15" t="s">
        <v>48</v>
      </c>
      <c r="D64" s="15" t="s">
        <v>38</v>
      </c>
      <c r="E64" s="15">
        <v>19389</v>
      </c>
      <c r="F64" s="15">
        <v>407</v>
      </c>
      <c r="G64" s="17">
        <v>305837051.76</v>
      </c>
      <c r="H64" s="17">
        <v>135744039.9</v>
      </c>
      <c r="I64" s="15">
        <v>0.06873</v>
      </c>
      <c r="J64" s="17">
        <v>0.02971</v>
      </c>
      <c r="K64" s="17">
        <v>185337.06</v>
      </c>
      <c r="L64" s="17">
        <v>633838.46</v>
      </c>
      <c r="M64" s="17">
        <v>57508.97</v>
      </c>
      <c r="N64" s="19">
        <v>0.6912</v>
      </c>
      <c r="O64" s="15">
        <v>20418.69</v>
      </c>
      <c r="P64" s="17">
        <v>-485591.67</v>
      </c>
    </row>
    <row r="65" ht="15" customHeight="1">
      <c r="A65" s="12">
        <v>46082</v>
      </c>
      <c r="B65" s="14" t="s">
        <v>47</v>
      </c>
      <c r="C65" s="14" t="s">
        <v>48</v>
      </c>
      <c r="D65" s="14" t="s">
        <v>38</v>
      </c>
      <c r="E65" s="14">
        <v>19323</v>
      </c>
      <c r="F65" s="14">
        <v>433</v>
      </c>
      <c r="G65" s="16">
        <v>311184688.69</v>
      </c>
      <c r="H65" s="16">
        <v>134025676.67</v>
      </c>
      <c r="I65" s="14">
        <v>0.06639</v>
      </c>
      <c r="J65" s="16">
        <v>0.03227</v>
      </c>
      <c r="K65" s="16">
        <v>204878.11</v>
      </c>
      <c r="L65" s="16">
        <v>838817.35</v>
      </c>
      <c r="M65" s="16">
        <v>177005.19</v>
      </c>
      <c r="N65" s="18">
        <v>0.7053</v>
      </c>
      <c r="O65" s="14">
        <v>-95346.85</v>
      </c>
      <c r="P65" s="16">
        <v>-906291.28</v>
      </c>
    </row>
    <row r="66" ht="15" customHeight="1">
      <c r="A66" s="13">
        <v>46113</v>
      </c>
      <c r="B66" s="15" t="s">
        <v>47</v>
      </c>
      <c r="C66" s="15" t="s">
        <v>48</v>
      </c>
      <c r="D66" s="15" t="s">
        <v>38</v>
      </c>
      <c r="E66" s="15">
        <v>19644</v>
      </c>
      <c r="F66" s="15">
        <v>404</v>
      </c>
      <c r="G66" s="17">
        <v>314248110.42</v>
      </c>
      <c r="H66" s="17">
        <v>143879395.94</v>
      </c>
      <c r="I66" s="15">
        <v>0.06128</v>
      </c>
      <c r="J66" s="17">
        <v>0.0261</v>
      </c>
      <c r="K66" s="17">
        <v>175551.04</v>
      </c>
      <c r="L66" s="17">
        <v>752324.24</v>
      </c>
      <c r="M66" s="17">
        <v>226268.64</v>
      </c>
      <c r="N66" s="19">
        <v>0.7244</v>
      </c>
      <c r="O66" s="15">
        <v>51248.61</v>
      </c>
      <c r="P66" s="17">
        <v>-751793.22</v>
      </c>
    </row>
    <row r="67" ht="15" customHeight="1">
      <c r="A67" s="12">
        <v>46143</v>
      </c>
      <c r="B67" s="14" t="s">
        <v>47</v>
      </c>
      <c r="C67" s="14" t="s">
        <v>48</v>
      </c>
      <c r="D67" s="14" t="s">
        <v>38</v>
      </c>
      <c r="E67" s="14">
        <v>19721</v>
      </c>
      <c r="F67" s="14">
        <v>361</v>
      </c>
      <c r="G67" s="16">
        <v>321123019.03</v>
      </c>
      <c r="H67" s="16">
        <v>139136622.21</v>
      </c>
      <c r="I67" s="14">
        <v>0.06774</v>
      </c>
      <c r="J67" s="16">
        <v>0.02991</v>
      </c>
      <c r="K67" s="16">
        <v>251325.34</v>
      </c>
      <c r="L67" s="16">
        <v>751335.02</v>
      </c>
      <c r="M67" s="16">
        <v>152007.37</v>
      </c>
      <c r="N67" s="18">
        <v>0.7476</v>
      </c>
      <c r="O67" s="14">
        <v>-14932.55</v>
      </c>
      <c r="P67" s="16">
        <v>-666949.61</v>
      </c>
    </row>
    <row r="68" ht="15" customHeight="1">
      <c r="A68" s="13">
        <v>46174</v>
      </c>
      <c r="B68" s="15" t="s">
        <v>47</v>
      </c>
      <c r="C68" s="15" t="s">
        <v>48</v>
      </c>
      <c r="D68" s="15" t="s">
        <v>38</v>
      </c>
      <c r="E68" s="15">
        <v>19810</v>
      </c>
      <c r="F68" s="15">
        <v>400</v>
      </c>
      <c r="G68" s="17">
        <v>320977814.04</v>
      </c>
      <c r="H68" s="17">
        <v>139338826.73</v>
      </c>
      <c r="I68" s="15">
        <v>0.06376</v>
      </c>
      <c r="J68" s="17">
        <v>0.03453</v>
      </c>
      <c r="K68" s="17">
        <v>171497.23</v>
      </c>
      <c r="L68" s="17">
        <v>777863.58</v>
      </c>
      <c r="M68" s="17">
        <v>146975.32</v>
      </c>
      <c r="N68" s="19">
        <v>0.7607</v>
      </c>
      <c r="O68" s="15">
        <v>-183317.16</v>
      </c>
      <c r="P68" s="17">
        <v>-936658.82</v>
      </c>
    </row>
    <row r="69" ht="15" customHeight="1">
      <c r="A69" s="12">
        <v>46204</v>
      </c>
      <c r="B69" s="14" t="s">
        <v>47</v>
      </c>
      <c r="C69" s="14" t="s">
        <v>48</v>
      </c>
      <c r="D69" s="14" t="s">
        <v>38</v>
      </c>
      <c r="E69" s="14">
        <v>19839</v>
      </c>
      <c r="F69" s="14">
        <v>360</v>
      </c>
      <c r="G69" s="16">
        <v>314627796.81</v>
      </c>
      <c r="H69" s="16">
        <v>138138188.05</v>
      </c>
      <c r="I69" s="14">
        <v>0.0588</v>
      </c>
      <c r="J69" s="16">
        <v>0.02755</v>
      </c>
      <c r="K69" s="16">
        <v>198459.62</v>
      </c>
      <c r="L69" s="16">
        <v>657461.64</v>
      </c>
      <c r="M69" s="16">
        <v>123345.6</v>
      </c>
      <c r="N69" s="18">
        <v>0.7661</v>
      </c>
      <c r="O69" s="14">
        <v>-45315.72</v>
      </c>
      <c r="P69" s="16">
        <v>-627663.35</v>
      </c>
    </row>
    <row r="70" ht="15" customHeight="1">
      <c r="A70" s="13">
        <v>46235</v>
      </c>
      <c r="B70" s="15" t="s">
        <v>47</v>
      </c>
      <c r="C70" s="15" t="s">
        <v>48</v>
      </c>
      <c r="D70" s="15" t="s">
        <v>38</v>
      </c>
      <c r="E70" s="15">
        <v>20015</v>
      </c>
      <c r="F70" s="15">
        <v>387</v>
      </c>
      <c r="G70" s="17">
        <v>313499725.28</v>
      </c>
      <c r="H70" s="17">
        <v>139883037.95</v>
      </c>
      <c r="I70" s="15">
        <v>0.06137</v>
      </c>
      <c r="J70" s="17">
        <v>0.02665</v>
      </c>
      <c r="K70" s="17">
        <v>197189.63</v>
      </c>
      <c r="L70" s="17">
        <v>746084.07</v>
      </c>
      <c r="M70" s="17">
        <v>157611.54</v>
      </c>
      <c r="N70" s="19">
        <v>0.7673</v>
      </c>
      <c r="O70" s="15">
        <v>19309.66</v>
      </c>
      <c r="P70" s="17">
        <v>-687196.32</v>
      </c>
    </row>
    <row r="71" ht="15" customHeight="1">
      <c r="A71" s="12">
        <v>46266</v>
      </c>
      <c r="B71" s="14" t="s">
        <v>47</v>
      </c>
      <c r="C71" s="14" t="s">
        <v>48</v>
      </c>
      <c r="D71" s="14" t="s">
        <v>38</v>
      </c>
      <c r="E71" s="14">
        <v>20267</v>
      </c>
      <c r="F71" s="14">
        <v>414</v>
      </c>
      <c r="G71" s="16">
        <v>298129428.04</v>
      </c>
      <c r="H71" s="16">
        <v>143099658.85</v>
      </c>
      <c r="I71" s="14">
        <v>0.06195</v>
      </c>
      <c r="J71" s="16">
        <v>0.03599</v>
      </c>
      <c r="K71" s="16">
        <v>178253.36</v>
      </c>
      <c r="L71" s="16">
        <v>744424.9</v>
      </c>
      <c r="M71" s="16">
        <v>73530.58</v>
      </c>
      <c r="N71" s="18">
        <v>0.8028</v>
      </c>
      <c r="O71" s="14">
        <v>-155332.53</v>
      </c>
      <c r="P71" s="16">
        <v>-795034.66</v>
      </c>
    </row>
    <row r="72" ht="15" customHeight="1">
      <c r="A72" s="13">
        <v>46296</v>
      </c>
      <c r="B72" s="15" t="s">
        <v>47</v>
      </c>
      <c r="C72" s="15" t="s">
        <v>48</v>
      </c>
      <c r="D72" s="15" t="s">
        <v>38</v>
      </c>
      <c r="E72" s="15">
        <v>19877</v>
      </c>
      <c r="F72" s="15">
        <v>252</v>
      </c>
      <c r="G72" s="17">
        <v>301952415.35</v>
      </c>
      <c r="H72" s="17">
        <v>143057358.58</v>
      </c>
      <c r="I72" s="15">
        <v>0.05997</v>
      </c>
      <c r="J72" s="17">
        <v>0.03375</v>
      </c>
      <c r="K72" s="17">
        <v>167759.19</v>
      </c>
      <c r="L72" s="17">
        <v>731304.07</v>
      </c>
      <c r="M72" s="17">
        <v>140003.04</v>
      </c>
      <c r="N72" s="19">
        <v>0.8203</v>
      </c>
      <c r="O72" s="15">
        <v>-134225.34</v>
      </c>
      <c r="P72" s="17">
        <v>-837773.26</v>
      </c>
    </row>
    <row r="73" ht="15" customHeight="1">
      <c r="A73" s="12">
        <v>46327</v>
      </c>
      <c r="B73" s="14" t="s">
        <v>47</v>
      </c>
      <c r="C73" s="14" t="s">
        <v>48</v>
      </c>
      <c r="D73" s="14" t="s">
        <v>38</v>
      </c>
      <c r="E73" s="14">
        <v>20079</v>
      </c>
      <c r="F73" s="14">
        <v>413</v>
      </c>
      <c r="G73" s="16">
        <v>310153511.68</v>
      </c>
      <c r="H73" s="16">
        <v>142839990.13</v>
      </c>
      <c r="I73" s="14">
        <v>0.05528</v>
      </c>
      <c r="J73" s="16">
        <v>0.02506</v>
      </c>
      <c r="K73" s="16">
        <v>216570.84</v>
      </c>
      <c r="L73" s="16">
        <v>874114.49</v>
      </c>
      <c r="M73" s="16">
        <v>100506.65</v>
      </c>
      <c r="N73" s="18">
        <v>0.8044</v>
      </c>
      <c r="O73" s="14">
        <v>10354.69</v>
      </c>
      <c r="P73" s="16">
        <v>-747695.6</v>
      </c>
    </row>
    <row r="74" ht="15" customHeight="1">
      <c r="A74" s="13">
        <v>46357</v>
      </c>
      <c r="B74" s="15" t="s">
        <v>47</v>
      </c>
      <c r="C74" s="15" t="s">
        <v>48</v>
      </c>
      <c r="D74" s="15" t="s">
        <v>38</v>
      </c>
      <c r="E74" s="15">
        <v>20191</v>
      </c>
      <c r="F74" s="15">
        <v>387</v>
      </c>
      <c r="G74" s="17">
        <v>311347736</v>
      </c>
      <c r="H74" s="17">
        <v>144521407.36</v>
      </c>
      <c r="I74" s="15">
        <v>0.06567</v>
      </c>
      <c r="J74" s="17">
        <v>0.0377</v>
      </c>
      <c r="K74" s="17">
        <v>226546.63</v>
      </c>
      <c r="L74" s="17">
        <v>764565.38</v>
      </c>
      <c r="M74" s="17">
        <v>167387.09</v>
      </c>
      <c r="N74" s="19">
        <v>0.7933</v>
      </c>
      <c r="O74" s="15">
        <v>-187196.51</v>
      </c>
      <c r="P74" s="17">
        <v>-892602.35</v>
      </c>
    </row>
    <row r="75" ht="15" customHeight="1">
      <c r="A75" s="12">
        <v>46023</v>
      </c>
      <c r="B75" s="14" t="s">
        <v>49</v>
      </c>
      <c r="C75" s="14" t="s">
        <v>50</v>
      </c>
      <c r="D75" s="14" t="s">
        <v>42</v>
      </c>
      <c r="E75" s="14">
        <v>10716</v>
      </c>
      <c r="F75" s="14">
        <v>182</v>
      </c>
      <c r="G75" s="16">
        <v>497583429.85</v>
      </c>
      <c r="H75" s="16">
        <v>223053863.2</v>
      </c>
      <c r="I75" s="14">
        <v>0.06705</v>
      </c>
      <c r="J75" s="16">
        <v>0.03091</v>
      </c>
      <c r="K75" s="16">
        <v>269512.07</v>
      </c>
      <c r="L75" s="16">
        <v>717151.18</v>
      </c>
      <c r="M75" s="16">
        <v>170250.12</v>
      </c>
      <c r="N75" s="18">
        <v>0.5505</v>
      </c>
      <c r="O75" s="14">
        <v>-35185.69</v>
      </c>
      <c r="P75" s="16">
        <v>-653074.93</v>
      </c>
    </row>
    <row r="76" ht="15" customHeight="1">
      <c r="A76" s="13">
        <v>46054</v>
      </c>
      <c r="B76" s="15" t="s">
        <v>49</v>
      </c>
      <c r="C76" s="15" t="s">
        <v>50</v>
      </c>
      <c r="D76" s="15" t="s">
        <v>42</v>
      </c>
      <c r="E76" s="15">
        <v>10895</v>
      </c>
      <c r="F76" s="15">
        <v>136</v>
      </c>
      <c r="G76" s="17">
        <v>502199305.34</v>
      </c>
      <c r="H76" s="17">
        <v>227424461.12</v>
      </c>
      <c r="I76" s="15">
        <v>0.05966</v>
      </c>
      <c r="J76" s="17">
        <v>0.03184</v>
      </c>
      <c r="K76" s="17">
        <v>283068.23</v>
      </c>
      <c r="L76" s="17">
        <v>684908.62</v>
      </c>
      <c r="M76" s="17">
        <v>278411.31</v>
      </c>
      <c r="N76" s="19">
        <v>0.6175</v>
      </c>
      <c r="O76" s="15">
        <v>-201712.49</v>
      </c>
      <c r="P76" s="17">
        <v>-881964.19</v>
      </c>
    </row>
    <row r="77" ht="15" customHeight="1">
      <c r="A77" s="12">
        <v>46082</v>
      </c>
      <c r="B77" s="14" t="s">
        <v>49</v>
      </c>
      <c r="C77" s="14" t="s">
        <v>50</v>
      </c>
      <c r="D77" s="14" t="s">
        <v>42</v>
      </c>
      <c r="E77" s="14">
        <v>10841</v>
      </c>
      <c r="F77" s="14">
        <v>192</v>
      </c>
      <c r="G77" s="16">
        <v>517642705</v>
      </c>
      <c r="H77" s="16">
        <v>219151781.19</v>
      </c>
      <c r="I77" s="14">
        <v>0.06446</v>
      </c>
      <c r="J77" s="16">
        <v>0.0312</v>
      </c>
      <c r="K77" s="16">
        <v>356644.8</v>
      </c>
      <c r="L77" s="16">
        <v>599010.49</v>
      </c>
      <c r="M77" s="16">
        <v>278429.33</v>
      </c>
      <c r="N77" s="18">
        <v>0.6027</v>
      </c>
      <c r="O77" s="14">
        <v>-168811.23</v>
      </c>
      <c r="P77" s="16">
        <v>-689606.26</v>
      </c>
    </row>
    <row r="78" ht="15" customHeight="1">
      <c r="A78" s="13">
        <v>46113</v>
      </c>
      <c r="B78" s="15" t="s">
        <v>49</v>
      </c>
      <c r="C78" s="15" t="s">
        <v>50</v>
      </c>
      <c r="D78" s="15" t="s">
        <v>42</v>
      </c>
      <c r="E78" s="15">
        <v>10889</v>
      </c>
      <c r="F78" s="15">
        <v>209</v>
      </c>
      <c r="G78" s="17">
        <v>507340450.61</v>
      </c>
      <c r="H78" s="17">
        <v>222900838.31</v>
      </c>
      <c r="I78" s="15">
        <v>0.05637</v>
      </c>
      <c r="J78" s="17">
        <v>0.03099</v>
      </c>
      <c r="K78" s="17">
        <v>273239.99</v>
      </c>
      <c r="L78" s="17">
        <v>697867.38</v>
      </c>
      <c r="M78" s="17">
        <v>44580.17</v>
      </c>
      <c r="N78" s="19">
        <v>0.6083</v>
      </c>
      <c r="O78" s="15">
        <v>-263339.03</v>
      </c>
      <c r="P78" s="17">
        <v>-732546.58</v>
      </c>
    </row>
    <row r="79" ht="15" customHeight="1">
      <c r="A79" s="12">
        <v>46143</v>
      </c>
      <c r="B79" s="14" t="s">
        <v>49</v>
      </c>
      <c r="C79" s="14" t="s">
        <v>50</v>
      </c>
      <c r="D79" s="14" t="s">
        <v>42</v>
      </c>
      <c r="E79" s="14">
        <v>10765</v>
      </c>
      <c r="F79" s="14">
        <v>123</v>
      </c>
      <c r="G79" s="16">
        <v>523949384.57</v>
      </c>
      <c r="H79" s="16">
        <v>224943699.24</v>
      </c>
      <c r="I79" s="14">
        <v>0.05873</v>
      </c>
      <c r="J79" s="16">
        <v>0.02706</v>
      </c>
      <c r="K79" s="16">
        <v>286004.42</v>
      </c>
      <c r="L79" s="16">
        <v>625001.85</v>
      </c>
      <c r="M79" s="16">
        <v>320299.4</v>
      </c>
      <c r="N79" s="18">
        <v>0.6482</v>
      </c>
      <c r="O79" s="14">
        <v>-80760.14</v>
      </c>
      <c r="P79" s="16">
        <v>-740056.97</v>
      </c>
    </row>
    <row r="80" ht="15" customHeight="1">
      <c r="A80" s="13">
        <v>46174</v>
      </c>
      <c r="B80" s="15" t="s">
        <v>49</v>
      </c>
      <c r="C80" s="15" t="s">
        <v>50</v>
      </c>
      <c r="D80" s="15" t="s">
        <v>42</v>
      </c>
      <c r="E80" s="15">
        <v>11055</v>
      </c>
      <c r="F80" s="15">
        <v>223</v>
      </c>
      <c r="G80" s="17">
        <v>508741622.84</v>
      </c>
      <c r="H80" s="17">
        <v>222959919.57</v>
      </c>
      <c r="I80" s="15">
        <v>0.0589</v>
      </c>
      <c r="J80" s="17">
        <v>0.03619</v>
      </c>
      <c r="K80" s="17">
        <v>263033.15</v>
      </c>
      <c r="L80" s="17">
        <v>655664.5</v>
      </c>
      <c r="M80" s="17">
        <v>229145.14</v>
      </c>
      <c r="N80" s="19">
        <v>0.6784</v>
      </c>
      <c r="O80" s="15">
        <v>-439745.91</v>
      </c>
      <c r="P80" s="17">
        <v>-1061522.4</v>
      </c>
    </row>
    <row r="81" ht="15" customHeight="1">
      <c r="A81" s="12">
        <v>46204</v>
      </c>
      <c r="B81" s="14" t="s">
        <v>49</v>
      </c>
      <c r="C81" s="14" t="s">
        <v>50</v>
      </c>
      <c r="D81" s="14" t="s">
        <v>42</v>
      </c>
      <c r="E81" s="14">
        <v>11051</v>
      </c>
      <c r="F81" s="14">
        <v>161</v>
      </c>
      <c r="G81" s="16">
        <v>501036009.96</v>
      </c>
      <c r="H81" s="16">
        <v>220744157.87</v>
      </c>
      <c r="I81" s="14">
        <v>0.05442</v>
      </c>
      <c r="J81" s="16">
        <v>0.03611</v>
      </c>
      <c r="K81" s="16">
        <v>352716.57</v>
      </c>
      <c r="L81" s="16">
        <v>770665.98</v>
      </c>
      <c r="M81" s="16">
        <v>256982.51</v>
      </c>
      <c r="N81" s="18">
        <v>0.6489</v>
      </c>
      <c r="O81" s="14">
        <v>-506671.04</v>
      </c>
      <c r="P81" s="16">
        <v>-1181602.97</v>
      </c>
    </row>
    <row r="82" ht="15" customHeight="1">
      <c r="A82" s="13">
        <v>46235</v>
      </c>
      <c r="B82" s="15" t="s">
        <v>49</v>
      </c>
      <c r="C82" s="15" t="s">
        <v>50</v>
      </c>
      <c r="D82" s="15" t="s">
        <v>42</v>
      </c>
      <c r="E82" s="15">
        <v>11009</v>
      </c>
      <c r="F82" s="15">
        <v>212</v>
      </c>
      <c r="G82" s="17">
        <v>503649298.13</v>
      </c>
      <c r="H82" s="17">
        <v>222038814.71</v>
      </c>
      <c r="I82" s="15">
        <v>0.05915</v>
      </c>
      <c r="J82" s="17">
        <v>0.03372</v>
      </c>
      <c r="K82" s="17">
        <v>370135.35</v>
      </c>
      <c r="L82" s="17">
        <v>777331.09</v>
      </c>
      <c r="M82" s="17">
        <v>243966.09</v>
      </c>
      <c r="N82" s="19">
        <v>0.6739</v>
      </c>
      <c r="O82" s="15">
        <v>-320745.76</v>
      </c>
      <c r="P82" s="17">
        <v>-971907.59</v>
      </c>
    </row>
    <row r="83" ht="15" customHeight="1">
      <c r="A83" s="12">
        <v>46266</v>
      </c>
      <c r="B83" s="14" t="s">
        <v>49</v>
      </c>
      <c r="C83" s="14" t="s">
        <v>50</v>
      </c>
      <c r="D83" s="14" t="s">
        <v>42</v>
      </c>
      <c r="E83" s="14">
        <v>11159</v>
      </c>
      <c r="F83" s="14">
        <v>268</v>
      </c>
      <c r="G83" s="16">
        <v>495291138.08</v>
      </c>
      <c r="H83" s="16">
        <v>229070239.65</v>
      </c>
      <c r="I83" s="14">
        <v>0.06451</v>
      </c>
      <c r="J83" s="16">
        <v>0.0287</v>
      </c>
      <c r="K83" s="16">
        <v>321495.4</v>
      </c>
      <c r="L83" s="16">
        <v>645500.74</v>
      </c>
      <c r="M83" s="16">
        <v>216162.24</v>
      </c>
      <c r="N83" s="18">
        <v>0.6708</v>
      </c>
      <c r="O83" s="14">
        <v>46813.69</v>
      </c>
      <c r="P83" s="16">
        <v>-493353.89</v>
      </c>
    </row>
    <row r="84" ht="15" customHeight="1">
      <c r="A84" s="13">
        <v>46296</v>
      </c>
      <c r="B84" s="15" t="s">
        <v>49</v>
      </c>
      <c r="C84" s="15" t="s">
        <v>50</v>
      </c>
      <c r="D84" s="15" t="s">
        <v>42</v>
      </c>
      <c r="E84" s="15">
        <v>10798</v>
      </c>
      <c r="F84" s="15">
        <v>148</v>
      </c>
      <c r="G84" s="17">
        <v>501370551.11</v>
      </c>
      <c r="H84" s="17">
        <v>231767645.8</v>
      </c>
      <c r="I84" s="15">
        <v>0.05222</v>
      </c>
      <c r="J84" s="17">
        <v>0.0339</v>
      </c>
      <c r="K84" s="17">
        <v>286915.41</v>
      </c>
      <c r="L84" s="17">
        <v>644022.59</v>
      </c>
      <c r="M84" s="17">
        <v>319646.01</v>
      </c>
      <c r="N84" s="19">
        <v>0.6786</v>
      </c>
      <c r="O84" s="15">
        <v>-407675.14</v>
      </c>
      <c r="P84" s="17">
        <v>-1084428.33</v>
      </c>
    </row>
    <row r="85" ht="15" customHeight="1">
      <c r="A85" s="12">
        <v>46327</v>
      </c>
      <c r="B85" s="14" t="s">
        <v>49</v>
      </c>
      <c r="C85" s="14" t="s">
        <v>50</v>
      </c>
      <c r="D85" s="14" t="s">
        <v>42</v>
      </c>
      <c r="E85" s="14">
        <v>11138</v>
      </c>
      <c r="F85" s="14">
        <v>183</v>
      </c>
      <c r="G85" s="16">
        <v>503824994.12</v>
      </c>
      <c r="H85" s="16">
        <v>228635155.89</v>
      </c>
      <c r="I85" s="14">
        <v>0.05955</v>
      </c>
      <c r="J85" s="16">
        <v>0.03293</v>
      </c>
      <c r="K85" s="16">
        <v>371701.17</v>
      </c>
      <c r="L85" s="16">
        <v>622373.51</v>
      </c>
      <c r="M85" s="16">
        <v>150806.31</v>
      </c>
      <c r="N85" s="18">
        <v>0.7077</v>
      </c>
      <c r="O85" s="14">
        <v>-247781.89</v>
      </c>
      <c r="P85" s="16">
        <v>-649260.54</v>
      </c>
    </row>
    <row r="86" ht="15" customHeight="1">
      <c r="A86" s="13">
        <v>46357</v>
      </c>
      <c r="B86" s="15" t="s">
        <v>49</v>
      </c>
      <c r="C86" s="15" t="s">
        <v>50</v>
      </c>
      <c r="D86" s="15" t="s">
        <v>42</v>
      </c>
      <c r="E86" s="15">
        <v>11188</v>
      </c>
      <c r="F86" s="15">
        <v>249</v>
      </c>
      <c r="G86" s="17">
        <v>533681488.14</v>
      </c>
      <c r="H86" s="17">
        <v>227803970.91</v>
      </c>
      <c r="I86" s="15">
        <v>0.05931</v>
      </c>
      <c r="J86" s="17">
        <v>0.03218</v>
      </c>
      <c r="K86" s="17">
        <v>346505.78</v>
      </c>
      <c r="L86" s="17">
        <v>676591.29</v>
      </c>
      <c r="M86" s="17">
        <v>168864.1</v>
      </c>
      <c r="N86" s="19">
        <v>0.6887</v>
      </c>
      <c r="O86" s="15">
        <v>-305155.23</v>
      </c>
      <c r="P86" s="17">
        <v>-804104.84</v>
      </c>
    </row>
    <row r="87" ht="15" customHeight="1">
      <c r="A87" s="12">
        <v>46023</v>
      </c>
      <c r="B87" s="14" t="s">
        <v>51</v>
      </c>
      <c r="C87" s="14" t="s">
        <v>52</v>
      </c>
      <c r="D87" s="14" t="s">
        <v>53</v>
      </c>
      <c r="E87" s="14">
        <v>12532</v>
      </c>
      <c r="F87" s="14">
        <v>196</v>
      </c>
      <c r="G87" s="16">
        <v>317176078.74</v>
      </c>
      <c r="H87" s="16">
        <v>334250926.34</v>
      </c>
      <c r="I87" s="14">
        <v>0.06501</v>
      </c>
      <c r="J87" s="16">
        <v>0.03167</v>
      </c>
      <c r="K87" s="16">
        <v>217046.33</v>
      </c>
      <c r="L87" s="16">
        <v>675708.95</v>
      </c>
      <c r="M87" s="16">
        <v>385366.42</v>
      </c>
      <c r="N87" s="18">
        <v>0.5589</v>
      </c>
      <c r="O87" s="14">
        <v>973523.32</v>
      </c>
      <c r="P87" s="16">
        <v>129494.28</v>
      </c>
    </row>
    <row r="88" ht="15" customHeight="1">
      <c r="A88" s="13">
        <v>46054</v>
      </c>
      <c r="B88" s="15" t="s">
        <v>51</v>
      </c>
      <c r="C88" s="15" t="s">
        <v>52</v>
      </c>
      <c r="D88" s="15" t="s">
        <v>53</v>
      </c>
      <c r="E88" s="15">
        <v>12371</v>
      </c>
      <c r="F88" s="15">
        <v>239</v>
      </c>
      <c r="G88" s="17">
        <v>316684746.07</v>
      </c>
      <c r="H88" s="17">
        <v>330973290.02</v>
      </c>
      <c r="I88" s="15">
        <v>0.06514</v>
      </c>
      <c r="J88" s="17">
        <v>0.04027</v>
      </c>
      <c r="K88" s="17">
        <v>221766.99</v>
      </c>
      <c r="L88" s="17">
        <v>595907.8</v>
      </c>
      <c r="M88" s="17">
        <v>399489.72</v>
      </c>
      <c r="N88" s="19">
        <v>0.6149</v>
      </c>
      <c r="O88" s="15">
        <v>733852.19</v>
      </c>
      <c r="P88" s="17">
        <v>-39778.35</v>
      </c>
    </row>
    <row r="89" ht="15" customHeight="1">
      <c r="A89" s="12">
        <v>46082</v>
      </c>
      <c r="B89" s="14" t="s">
        <v>51</v>
      </c>
      <c r="C89" s="14" t="s">
        <v>52</v>
      </c>
      <c r="D89" s="14" t="s">
        <v>53</v>
      </c>
      <c r="E89" s="14">
        <v>12407</v>
      </c>
      <c r="F89" s="14">
        <v>219</v>
      </c>
      <c r="G89" s="16">
        <v>327256547.82</v>
      </c>
      <c r="H89" s="16">
        <v>333515047.07</v>
      </c>
      <c r="I89" s="14">
        <v>0.06373</v>
      </c>
      <c r="J89" s="16">
        <v>0.03558</v>
      </c>
      <c r="K89" s="16">
        <v>212253.83</v>
      </c>
      <c r="L89" s="16">
        <v>690015.6</v>
      </c>
      <c r="M89" s="16">
        <v>568467.8</v>
      </c>
      <c r="N89" s="18">
        <v>0.606</v>
      </c>
      <c r="O89" s="14">
        <v>800864.26</v>
      </c>
      <c r="P89" s="16">
        <v>-245365.31</v>
      </c>
    </row>
    <row r="90" ht="15" customHeight="1">
      <c r="A90" s="13">
        <v>46113</v>
      </c>
      <c r="B90" s="15" t="s">
        <v>51</v>
      </c>
      <c r="C90" s="15" t="s">
        <v>52</v>
      </c>
      <c r="D90" s="15" t="s">
        <v>53</v>
      </c>
      <c r="E90" s="15">
        <v>12413</v>
      </c>
      <c r="F90" s="15">
        <v>186</v>
      </c>
      <c r="G90" s="17">
        <v>329821236.33</v>
      </c>
      <c r="H90" s="17">
        <v>333127601.78</v>
      </c>
      <c r="I90" s="15">
        <v>0.05486</v>
      </c>
      <c r="J90" s="17">
        <v>0.02933</v>
      </c>
      <c r="K90" s="17">
        <v>234807.94</v>
      </c>
      <c r="L90" s="17">
        <v>584830.65</v>
      </c>
      <c r="M90" s="17">
        <v>486722.94</v>
      </c>
      <c r="N90" s="19">
        <v>0.6037</v>
      </c>
      <c r="O90" s="15">
        <v>716689.93</v>
      </c>
      <c r="P90" s="17">
        <v>-120055.72</v>
      </c>
    </row>
    <row r="91" ht="15" customHeight="1">
      <c r="A91" s="12">
        <v>46143</v>
      </c>
      <c r="B91" s="14" t="s">
        <v>51</v>
      </c>
      <c r="C91" s="14" t="s">
        <v>52</v>
      </c>
      <c r="D91" s="14" t="s">
        <v>53</v>
      </c>
      <c r="E91" s="14">
        <v>12530</v>
      </c>
      <c r="F91" s="14">
        <v>246</v>
      </c>
      <c r="G91" s="16">
        <v>330554624.4</v>
      </c>
      <c r="H91" s="16">
        <v>335770581.97</v>
      </c>
      <c r="I91" s="14">
        <v>0.0625</v>
      </c>
      <c r="J91" s="16">
        <v>0.03359</v>
      </c>
      <c r="K91" s="16">
        <v>183316.42</v>
      </c>
      <c r="L91" s="16">
        <v>672620.72</v>
      </c>
      <c r="M91" s="16">
        <v>346475.19</v>
      </c>
      <c r="N91" s="18">
        <v>0.6428</v>
      </c>
      <c r="O91" s="14">
        <v>823550.82</v>
      </c>
      <c r="P91" s="16">
        <v>-12228.67</v>
      </c>
    </row>
    <row r="92" ht="15" customHeight="1">
      <c r="A92" s="13">
        <v>46174</v>
      </c>
      <c r="B92" s="15" t="s">
        <v>51</v>
      </c>
      <c r="C92" s="15" t="s">
        <v>52</v>
      </c>
      <c r="D92" s="15" t="s">
        <v>53</v>
      </c>
      <c r="E92" s="15">
        <v>12716</v>
      </c>
      <c r="F92" s="15">
        <v>248</v>
      </c>
      <c r="G92" s="17">
        <v>330796228.14</v>
      </c>
      <c r="H92" s="17">
        <v>341922391.17</v>
      </c>
      <c r="I92" s="15">
        <v>0.06227</v>
      </c>
      <c r="J92" s="17">
        <v>0.03535</v>
      </c>
      <c r="K92" s="17">
        <v>235610.25</v>
      </c>
      <c r="L92" s="17">
        <v>699063.74</v>
      </c>
      <c r="M92" s="17">
        <v>182942.86</v>
      </c>
      <c r="N92" s="19">
        <v>0.6499</v>
      </c>
      <c r="O92" s="15">
        <v>799736.62</v>
      </c>
      <c r="P92" s="17">
        <v>153340.27</v>
      </c>
    </row>
    <row r="93" ht="15" customHeight="1">
      <c r="A93" s="12">
        <v>46204</v>
      </c>
      <c r="B93" s="14" t="s">
        <v>51</v>
      </c>
      <c r="C93" s="14" t="s">
        <v>52</v>
      </c>
      <c r="D93" s="14" t="s">
        <v>53</v>
      </c>
      <c r="E93" s="14">
        <v>12852</v>
      </c>
      <c r="F93" s="14">
        <v>286</v>
      </c>
      <c r="G93" s="16">
        <v>330037309.72</v>
      </c>
      <c r="H93" s="16">
        <v>327133066.81</v>
      </c>
      <c r="I93" s="14">
        <v>0.06293</v>
      </c>
      <c r="J93" s="16">
        <v>0.03187</v>
      </c>
      <c r="K93" s="16">
        <v>190371.01</v>
      </c>
      <c r="L93" s="16">
        <v>665147.93</v>
      </c>
      <c r="M93" s="16">
        <v>332096.05</v>
      </c>
      <c r="N93" s="18">
        <v>0.6565</v>
      </c>
      <c r="O93" s="14">
        <v>838929.56</v>
      </c>
      <c r="P93" s="16">
        <v>32056.59</v>
      </c>
    </row>
    <row r="94" ht="15" customHeight="1">
      <c r="A94" s="13">
        <v>46235</v>
      </c>
      <c r="B94" s="15" t="s">
        <v>51</v>
      </c>
      <c r="C94" s="15" t="s">
        <v>52</v>
      </c>
      <c r="D94" s="15" t="s">
        <v>53</v>
      </c>
      <c r="E94" s="15">
        <v>12540</v>
      </c>
      <c r="F94" s="15">
        <v>186</v>
      </c>
      <c r="G94" s="17">
        <v>308048496.65</v>
      </c>
      <c r="H94" s="17">
        <v>331766744.4</v>
      </c>
      <c r="I94" s="15">
        <v>0.06876</v>
      </c>
      <c r="J94" s="17">
        <v>0.02672</v>
      </c>
      <c r="K94" s="17">
        <v>209151.54</v>
      </c>
      <c r="L94" s="17">
        <v>619626.04</v>
      </c>
      <c r="M94" s="17">
        <v>388279.44</v>
      </c>
      <c r="N94" s="19">
        <v>0.6519</v>
      </c>
      <c r="O94" s="15">
        <v>1215045.84</v>
      </c>
      <c r="P94" s="17">
        <v>416291.9</v>
      </c>
    </row>
    <row r="95" ht="15" customHeight="1">
      <c r="A95" s="12">
        <v>46266</v>
      </c>
      <c r="B95" s="14" t="s">
        <v>51</v>
      </c>
      <c r="C95" s="14" t="s">
        <v>52</v>
      </c>
      <c r="D95" s="14" t="s">
        <v>53</v>
      </c>
      <c r="E95" s="14">
        <v>12571</v>
      </c>
      <c r="F95" s="14">
        <v>188</v>
      </c>
      <c r="G95" s="16">
        <v>321927038.38</v>
      </c>
      <c r="H95" s="16">
        <v>339441815.42</v>
      </c>
      <c r="I95" s="14">
        <v>0.0581</v>
      </c>
      <c r="J95" s="16">
        <v>0.04078</v>
      </c>
      <c r="K95" s="16">
        <v>198576.21</v>
      </c>
      <c r="L95" s="16">
        <v>605064.33</v>
      </c>
      <c r="M95" s="16">
        <v>539362.08</v>
      </c>
      <c r="N95" s="18">
        <v>0.6801</v>
      </c>
      <c r="O95" s="14">
        <v>549342</v>
      </c>
      <c r="P95" s="16">
        <v>-396508.21</v>
      </c>
    </row>
    <row r="96" ht="15" customHeight="1">
      <c r="A96" s="13">
        <v>46296</v>
      </c>
      <c r="B96" s="15" t="s">
        <v>51</v>
      </c>
      <c r="C96" s="15" t="s">
        <v>52</v>
      </c>
      <c r="D96" s="15" t="s">
        <v>53</v>
      </c>
      <c r="E96" s="15">
        <v>12739</v>
      </c>
      <c r="F96" s="15">
        <v>225</v>
      </c>
      <c r="G96" s="17">
        <v>320523362.52</v>
      </c>
      <c r="H96" s="17">
        <v>343624132.72</v>
      </c>
      <c r="I96" s="15">
        <v>0.06294</v>
      </c>
      <c r="J96" s="17">
        <v>0.03168</v>
      </c>
      <c r="K96" s="17">
        <v>232792.18</v>
      </c>
      <c r="L96" s="17">
        <v>538390.58</v>
      </c>
      <c r="M96" s="17">
        <v>434021.8</v>
      </c>
      <c r="N96" s="19">
        <v>0.7073</v>
      </c>
      <c r="O96" s="15">
        <v>956179.99</v>
      </c>
      <c r="P96" s="17">
        <v>216559.78</v>
      </c>
    </row>
    <row r="97" ht="15" customHeight="1">
      <c r="A97" s="12">
        <v>46327</v>
      </c>
      <c r="B97" s="14" t="s">
        <v>51</v>
      </c>
      <c r="C97" s="14" t="s">
        <v>52</v>
      </c>
      <c r="D97" s="14" t="s">
        <v>53</v>
      </c>
      <c r="E97" s="14">
        <v>12630</v>
      </c>
      <c r="F97" s="14">
        <v>171</v>
      </c>
      <c r="G97" s="16">
        <v>329565398.13</v>
      </c>
      <c r="H97" s="16">
        <v>346463320.67</v>
      </c>
      <c r="I97" s="14">
        <v>0.06401</v>
      </c>
      <c r="J97" s="16">
        <v>0.02823</v>
      </c>
      <c r="K97" s="16">
        <v>174141.96</v>
      </c>
      <c r="L97" s="16">
        <v>713629.02</v>
      </c>
      <c r="M97" s="16">
        <v>144623.85</v>
      </c>
      <c r="N97" s="18">
        <v>0.7064</v>
      </c>
      <c r="O97" s="14">
        <v>1072612.19</v>
      </c>
      <c r="P97" s="16">
        <v>388501.28</v>
      </c>
    </row>
    <row r="98" ht="15" customHeight="1">
      <c r="A98" s="13">
        <v>46357</v>
      </c>
      <c r="B98" s="15" t="s">
        <v>51</v>
      </c>
      <c r="C98" s="15" t="s">
        <v>52</v>
      </c>
      <c r="D98" s="15" t="s">
        <v>53</v>
      </c>
      <c r="E98" s="15">
        <v>12739</v>
      </c>
      <c r="F98" s="15">
        <v>135</v>
      </c>
      <c r="G98" s="17">
        <v>328143132.7</v>
      </c>
      <c r="H98" s="17">
        <v>341494000.19</v>
      </c>
      <c r="I98" s="15">
        <v>0.06111</v>
      </c>
      <c r="J98" s="17">
        <v>0.03239</v>
      </c>
      <c r="K98" s="17">
        <v>193835.43</v>
      </c>
      <c r="L98" s="17">
        <v>706871.86</v>
      </c>
      <c r="M98" s="17">
        <v>235888.93</v>
      </c>
      <c r="N98" s="19">
        <v>0.7101</v>
      </c>
      <c r="O98" s="15">
        <v>853519.99</v>
      </c>
      <c r="P98" s="17">
        <v>104594.63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3C0BE5F-DCD7-2088-5835-85CCBAE9F10B}" mc:Ignorable="x14ac xr xr2 xr3">
  <dimension ref="A1:C1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42.00390625" customWidth="1"/>
    <col min="2" max="2" width="12.00390625" customWidth="1"/>
    <col min="3" max="3" width="42.00390625" customWidth="1"/>
  </cols>
  <sheetData>
    <row r="1" ht="15" customHeight="1">
      <c r="A1" s="1"/>
      <c r="B1" s="1"/>
      <c r="C1" s="1"/>
    </row>
    <row r="2" ht="15" customHeight="1">
      <c r="A2" s="6" t="s">
        <v>54</v>
      </c>
      <c r="B2" s="6" t="s">
        <v>55</v>
      </c>
      <c r="C2" s="6" t="s">
        <v>56</v>
      </c>
    </row>
    <row r="3" ht="15" customHeight="1">
      <c r="A3" s="7" t="s">
        <v>57</v>
      </c>
      <c r="B3" s="16">
        <v>350000</v>
      </c>
      <c r="C3" s="7" t="s">
        <v>58</v>
      </c>
    </row>
    <row r="4" ht="15" customHeight="1">
      <c r="A4" s="8" t="s">
        <v>59</v>
      </c>
      <c r="B4" s="17">
        <v>85000</v>
      </c>
      <c r="C4" s="8" t="s">
        <v>60</v>
      </c>
    </row>
    <row r="5" ht="15" customHeight="1">
      <c r="A5" s="7" t="s">
        <v>61</v>
      </c>
      <c r="B5" s="16">
        <v>125000</v>
      </c>
      <c r="C5" s="7" t="s">
        <v>62</v>
      </c>
    </row>
    <row r="6" ht="15" customHeight="1">
      <c r="A6" s="8" t="s">
        <v>63</v>
      </c>
      <c r="B6" s="17">
        <v>0.12</v>
      </c>
      <c r="C6" s="8" t="s">
        <v>64</v>
      </c>
    </row>
    <row r="7" ht="15" customHeight="1">
      <c r="A7" s="7" t="s">
        <v>65</v>
      </c>
      <c r="B7" s="16">
        <v>28000</v>
      </c>
      <c r="C7" s="7" t="s">
        <v>66</v>
      </c>
    </row>
    <row r="8" ht="15" customHeight="1">
      <c r="A8" s="8" t="s">
        <v>67</v>
      </c>
      <c r="B8" s="17">
        <v>0.105</v>
      </c>
      <c r="C8" s="8" t="s">
        <v>68</v>
      </c>
    </row>
    <row r="9" ht="15" customHeight="1">
      <c r="A9" s="7" t="s">
        <v>69</v>
      </c>
      <c r="B9" s="16">
        <v>36</v>
      </c>
      <c r="C9" s="7" t="s">
        <v>70</v>
      </c>
    </row>
    <row r="10" ht="15" customHeight="1">
      <c r="A10" s="8" t="s">
        <v>71</v>
      </c>
      <c r="B10" s="17">
        <v>0.62</v>
      </c>
      <c r="C10" s="8" t="s">
        <v>72</v>
      </c>
    </row>
    <row r="11" ht="15" customHeight="1">
      <c r="A11" s="7" t="s">
        <v>73</v>
      </c>
      <c r="B11" s="16">
        <v>0.78</v>
      </c>
      <c r="C11" s="7" t="s">
        <v>74</v>
      </c>
    </row>
    <row r="12" ht="15" customHeight="1">
      <c r="A12" s="8" t="s">
        <v>75</v>
      </c>
      <c r="B12" s="17">
        <v>0.42</v>
      </c>
      <c r="C12" s="8" t="s">
        <v>76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EF4C5BB-34F6-3F5A-86B8-3C0156BF846A}" mc:Ignorable="x14ac xr xr2 xr3">
  <dimension ref="A1:F5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2.00390625" customWidth="1"/>
    <col min="2" max="2" width="15.00390625" customWidth="1"/>
    <col min="3" max="3" width="20.00390625" customWidth="1"/>
    <col min="4" max="5" width="17.00390625" customWidth="1"/>
    <col min="6" max="6" width="42.00390625" customWidth="1"/>
  </cols>
  <sheetData>
    <row r="1" ht="15" customHeight="1">
      <c r="A1" s="1"/>
      <c r="B1" s="1"/>
      <c r="C1" s="1"/>
      <c r="D1" s="1"/>
      <c r="E1" s="1"/>
      <c r="F1" s="1"/>
    </row>
    <row r="2" ht="15" customHeight="1">
      <c r="A2" s="6" t="s">
        <v>77</v>
      </c>
      <c r="B2" s="6" t="s">
        <v>78</v>
      </c>
      <c r="C2" s="6" t="s">
        <v>79</v>
      </c>
      <c r="D2" s="6" t="s">
        <v>80</v>
      </c>
      <c r="E2" s="6" t="s">
        <v>81</v>
      </c>
      <c r="F2" s="6" t="s">
        <v>82</v>
      </c>
    </row>
    <row r="3" ht="15" customHeight="1">
      <c r="A3" s="7" t="s">
        <v>83</v>
      </c>
      <c r="B3" s="18">
        <v>0.35</v>
      </c>
      <c r="C3" s="18">
        <v>0.55</v>
      </c>
      <c r="D3" s="18">
        <v>1.15</v>
      </c>
      <c r="E3" s="18">
        <v>0.8</v>
      </c>
      <c r="F3" s="7" t="s">
        <v>84</v>
      </c>
    </row>
    <row r="4" ht="15" customHeight="1">
      <c r="A4" s="8" t="s">
        <v>85</v>
      </c>
      <c r="B4" s="19">
        <v>0.62</v>
      </c>
      <c r="C4" s="19">
        <v>1</v>
      </c>
      <c r="D4" s="19">
        <v>1</v>
      </c>
      <c r="E4" s="19">
        <v>0.92</v>
      </c>
      <c r="F4" s="8" t="s">
        <v>86</v>
      </c>
    </row>
    <row r="5" ht="15" customHeight="1">
      <c r="A5" s="7" t="s">
        <v>87</v>
      </c>
      <c r="B5" s="18">
        <v>0.82</v>
      </c>
      <c r="C5" s="18">
        <v>1.45</v>
      </c>
      <c r="D5" s="18">
        <v>0.92</v>
      </c>
      <c r="E5" s="18">
        <v>0.97</v>
      </c>
      <c r="F5" s="7" t="s">
        <v>88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7A4C68-BE61-3157-A4FD-969D6AB8B198}" mc:Ignorable="x14ac xr xr2 xr3">
  <dimension ref="A1:K114"/>
  <sheetViews>
    <sheetView topLeftCell="A1" workbookViewId="0">
      <pane ySplit="1" topLeftCell="A6" activePane="bottomLeft" state="frozen"/>
      <selection pane="bottomLeft" activeCell="A1" sqref="A1"/>
    </sheetView>
  </sheetViews>
  <sheetFormatPr defaultRowHeight="15" defaultColWidth="9.140625" customHeight="1"/>
  <cols>
    <col min="1" max="3" width="14.00390625" customWidth="1"/>
    <col min="4" max="4" width="16.00390625" customWidth="1"/>
    <col min="5" max="5" width="20.00390625" customWidth="1"/>
    <col min="6" max="6" width="16.00390625" customWidth="1"/>
    <col min="7" max="7" width="20.00390625" customWidth="1"/>
    <col min="8" max="8" width="22.00390625" customWidth="1"/>
    <col min="9" max="10" width="16.00390625" customWidth="1"/>
    <col min="11" max="11" width="28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" customHeight="1">
      <c r="A2" s="20" t="s">
        <v>89</v>
      </c>
    </row>
    <row r="3" ht="15" customHeight="1">
      <c r="A3" s="21" t="s">
        <v>90</v>
      </c>
    </row>
    <row r="4" ht="15" customHeight="1">
      <c r="A4" s="21" t="s">
        <v>91</v>
      </c>
    </row>
    <row r="6" ht="15" customHeight="1">
      <c r="A6" s="24" t="s">
        <v>92</v>
      </c>
      <c r="B6" s="24" t="s">
        <v>77</v>
      </c>
      <c r="C6" s="24" t="s">
        <v>78</v>
      </c>
      <c r="D6" s="24" t="s">
        <v>93</v>
      </c>
      <c r="E6" s="24" t="s">
        <v>94</v>
      </c>
      <c r="F6" s="24" t="s">
        <v>95</v>
      </c>
      <c r="G6" s="24" t="s">
        <v>96</v>
      </c>
      <c r="H6" s="24" t="s">
        <v>97</v>
      </c>
      <c r="I6" s="24" t="s">
        <v>98</v>
      </c>
      <c r="J6" s="24" t="s">
        <v>99</v>
      </c>
      <c r="K6" s="24" t="s">
        <v>100</v>
      </c>
    </row>
    <row r="7" ht="15" customHeight="1">
      <c r="A7" s="25">
        <v>1</v>
      </c>
      <c r="B7" s="25" t="s">
        <v>83</v>
      </c>
      <c r="C7" s="25"/>
      <c r="D7" s="25"/>
      <c r="E7" s="25"/>
      <c r="F7" s="25"/>
      <c r="G7" s="25"/>
      <c r="H7" s="25"/>
      <c r="I7" s="25"/>
      <c r="J7" s="25"/>
      <c r="K7" s="25"/>
    </row>
    <row r="8" ht="15" customHeight="1">
      <c r="A8" s="26">
        <v>2</v>
      </c>
      <c r="B8" s="26" t="s">
        <v>83</v>
      </c>
      <c r="C8" s="26"/>
      <c r="D8" s="26"/>
      <c r="E8" s="26"/>
      <c r="F8" s="26"/>
      <c r="G8" s="26"/>
      <c r="H8" s="26"/>
      <c r="I8" s="26"/>
      <c r="J8" s="26"/>
      <c r="K8" s="26"/>
    </row>
    <row r="9" ht="15" customHeight="1">
      <c r="A9" s="25">
        <v>3</v>
      </c>
      <c r="B9" s="25" t="s">
        <v>83</v>
      </c>
      <c r="C9" s="25"/>
      <c r="D9" s="25"/>
      <c r="E9" s="25"/>
      <c r="F9" s="25"/>
      <c r="G9" s="25"/>
      <c r="H9" s="25"/>
      <c r="I9" s="25"/>
      <c r="J9" s="25"/>
      <c r="K9" s="25"/>
    </row>
    <row r="10" ht="15" customHeight="1">
      <c r="A10" s="26">
        <v>4</v>
      </c>
      <c r="B10" s="26" t="s">
        <v>83</v>
      </c>
      <c r="C10" s="26"/>
      <c r="D10" s="26"/>
      <c r="E10" s="26"/>
      <c r="F10" s="26"/>
      <c r="G10" s="26"/>
      <c r="H10" s="26"/>
      <c r="I10" s="26"/>
      <c r="J10" s="26"/>
      <c r="K10" s="26"/>
    </row>
    <row r="11" ht="15" customHeight="1">
      <c r="A11" s="25">
        <v>5</v>
      </c>
      <c r="B11" s="25" t="s">
        <v>83</v>
      </c>
      <c r="C11" s="25"/>
      <c r="D11" s="25"/>
      <c r="E11" s="25"/>
      <c r="F11" s="25"/>
      <c r="G11" s="25"/>
      <c r="H11" s="25"/>
      <c r="I11" s="25"/>
      <c r="J11" s="25"/>
      <c r="K11" s="25"/>
    </row>
    <row r="12" ht="15" customHeight="1">
      <c r="A12" s="26">
        <v>6</v>
      </c>
      <c r="B12" s="26" t="s">
        <v>83</v>
      </c>
      <c r="C12" s="26"/>
      <c r="D12" s="26"/>
      <c r="E12" s="26"/>
      <c r="F12" s="26"/>
      <c r="G12" s="26"/>
      <c r="H12" s="26"/>
      <c r="I12" s="26"/>
      <c r="J12" s="26"/>
      <c r="K12" s="26"/>
    </row>
    <row r="13" ht="15" customHeight="1">
      <c r="A13" s="25">
        <v>7</v>
      </c>
      <c r="B13" s="25" t="s">
        <v>83</v>
      </c>
      <c r="C13" s="25"/>
      <c r="D13" s="25"/>
      <c r="E13" s="25"/>
      <c r="F13" s="25"/>
      <c r="G13" s="25"/>
      <c r="H13" s="25"/>
      <c r="I13" s="25"/>
      <c r="J13" s="25"/>
      <c r="K13" s="25"/>
    </row>
    <row r="14" ht="15" customHeight="1">
      <c r="A14" s="26">
        <v>8</v>
      </c>
      <c r="B14" s="26" t="s">
        <v>83</v>
      </c>
      <c r="C14" s="26"/>
      <c r="D14" s="26"/>
      <c r="E14" s="26"/>
      <c r="F14" s="26"/>
      <c r="G14" s="26"/>
      <c r="H14" s="26"/>
      <c r="I14" s="26"/>
      <c r="J14" s="26"/>
      <c r="K14" s="26"/>
    </row>
    <row r="15" ht="15" customHeight="1">
      <c r="A15" s="25">
        <v>9</v>
      </c>
      <c r="B15" s="25" t="s">
        <v>83</v>
      </c>
      <c r="C15" s="25"/>
      <c r="D15" s="25"/>
      <c r="E15" s="25"/>
      <c r="F15" s="25"/>
      <c r="G15" s="25"/>
      <c r="H15" s="25"/>
      <c r="I15" s="25"/>
      <c r="J15" s="25"/>
      <c r="K15" s="25"/>
    </row>
    <row r="16" ht="15" customHeight="1">
      <c r="A16" s="26">
        <v>10</v>
      </c>
      <c r="B16" s="26" t="s">
        <v>83</v>
      </c>
      <c r="C16" s="26"/>
      <c r="D16" s="26"/>
      <c r="E16" s="26"/>
      <c r="F16" s="26"/>
      <c r="G16" s="26"/>
      <c r="H16" s="26"/>
      <c r="I16" s="26"/>
      <c r="J16" s="26"/>
      <c r="K16" s="26"/>
    </row>
    <row r="17" ht="15" customHeight="1">
      <c r="A17" s="25">
        <v>11</v>
      </c>
      <c r="B17" s="25" t="s">
        <v>83</v>
      </c>
      <c r="C17" s="25"/>
      <c r="D17" s="25"/>
      <c r="E17" s="25"/>
      <c r="F17" s="25"/>
      <c r="G17" s="25"/>
      <c r="H17" s="25"/>
      <c r="I17" s="25"/>
      <c r="J17" s="25"/>
      <c r="K17" s="25"/>
    </row>
    <row r="18" ht="15" customHeight="1">
      <c r="A18" s="26">
        <v>12</v>
      </c>
      <c r="B18" s="26" t="s">
        <v>83</v>
      </c>
      <c r="C18" s="26"/>
      <c r="D18" s="26"/>
      <c r="E18" s="26"/>
      <c r="F18" s="26"/>
      <c r="G18" s="26"/>
      <c r="H18" s="26"/>
      <c r="I18" s="26"/>
      <c r="J18" s="26"/>
      <c r="K18" s="26"/>
    </row>
    <row r="19" ht="15" customHeight="1">
      <c r="A19" s="25">
        <v>13</v>
      </c>
      <c r="B19" s="25" t="s">
        <v>83</v>
      </c>
      <c r="C19" s="25"/>
      <c r="D19" s="25"/>
      <c r="E19" s="25"/>
      <c r="F19" s="25"/>
      <c r="G19" s="25"/>
      <c r="H19" s="25"/>
      <c r="I19" s="25"/>
      <c r="J19" s="25"/>
      <c r="K19" s="25"/>
    </row>
    <row r="20" ht="15" customHeight="1">
      <c r="A20" s="26">
        <v>14</v>
      </c>
      <c r="B20" s="26" t="s">
        <v>83</v>
      </c>
      <c r="C20" s="26"/>
      <c r="D20" s="26"/>
      <c r="E20" s="26"/>
      <c r="F20" s="26"/>
      <c r="G20" s="26"/>
      <c r="H20" s="26"/>
      <c r="I20" s="26"/>
      <c r="J20" s="26"/>
      <c r="K20" s="26"/>
    </row>
    <row r="21" ht="15" customHeight="1">
      <c r="A21" s="25">
        <v>15</v>
      </c>
      <c r="B21" s="25" t="s">
        <v>83</v>
      </c>
      <c r="C21" s="25"/>
      <c r="D21" s="25"/>
      <c r="E21" s="25"/>
      <c r="F21" s="25"/>
      <c r="G21" s="25"/>
      <c r="H21" s="25"/>
      <c r="I21" s="25"/>
      <c r="J21" s="25"/>
      <c r="K21" s="25"/>
    </row>
    <row r="22" ht="15" customHeight="1">
      <c r="A22" s="26">
        <v>16</v>
      </c>
      <c r="B22" s="26" t="s">
        <v>83</v>
      </c>
      <c r="C22" s="26"/>
      <c r="D22" s="26"/>
      <c r="E22" s="26"/>
      <c r="F22" s="26"/>
      <c r="G22" s="26"/>
      <c r="H22" s="26"/>
      <c r="I22" s="26"/>
      <c r="J22" s="26"/>
      <c r="K22" s="26"/>
    </row>
    <row r="23" ht="15" customHeight="1">
      <c r="A23" s="25">
        <v>17</v>
      </c>
      <c r="B23" s="25" t="s">
        <v>83</v>
      </c>
      <c r="C23" s="25"/>
      <c r="D23" s="25"/>
      <c r="E23" s="25"/>
      <c r="F23" s="25"/>
      <c r="G23" s="25"/>
      <c r="H23" s="25"/>
      <c r="I23" s="25"/>
      <c r="J23" s="25"/>
      <c r="K23" s="25"/>
    </row>
    <row r="24" ht="15" customHeight="1">
      <c r="A24" s="26">
        <v>18</v>
      </c>
      <c r="B24" s="26" t="s">
        <v>83</v>
      </c>
      <c r="C24" s="26"/>
      <c r="D24" s="26"/>
      <c r="E24" s="26"/>
      <c r="F24" s="26"/>
      <c r="G24" s="26"/>
      <c r="H24" s="26"/>
      <c r="I24" s="26"/>
      <c r="J24" s="26"/>
      <c r="K24" s="26"/>
    </row>
    <row r="25" ht="15" customHeight="1">
      <c r="A25" s="25">
        <v>19</v>
      </c>
      <c r="B25" s="25" t="s">
        <v>83</v>
      </c>
      <c r="C25" s="25"/>
      <c r="D25" s="25"/>
      <c r="E25" s="25"/>
      <c r="F25" s="25"/>
      <c r="G25" s="25"/>
      <c r="H25" s="25"/>
      <c r="I25" s="25"/>
      <c r="J25" s="25"/>
      <c r="K25" s="25"/>
    </row>
    <row r="26" ht="15" customHeight="1">
      <c r="A26" s="26">
        <v>20</v>
      </c>
      <c r="B26" s="26" t="s">
        <v>83</v>
      </c>
      <c r="C26" s="26"/>
      <c r="D26" s="26"/>
      <c r="E26" s="26"/>
      <c r="F26" s="26"/>
      <c r="G26" s="26"/>
      <c r="H26" s="26"/>
      <c r="I26" s="26"/>
      <c r="J26" s="26"/>
      <c r="K26" s="26"/>
    </row>
    <row r="27" ht="15" customHeight="1">
      <c r="A27" s="25">
        <v>21</v>
      </c>
      <c r="B27" s="25" t="s">
        <v>83</v>
      </c>
      <c r="C27" s="25"/>
      <c r="D27" s="25"/>
      <c r="E27" s="25"/>
      <c r="F27" s="25"/>
      <c r="G27" s="25"/>
      <c r="H27" s="25"/>
      <c r="I27" s="25"/>
      <c r="J27" s="25"/>
      <c r="K27" s="25"/>
    </row>
    <row r="28" ht="15" customHeight="1">
      <c r="A28" s="26">
        <v>22</v>
      </c>
      <c r="B28" s="26" t="s">
        <v>83</v>
      </c>
      <c r="C28" s="26"/>
      <c r="D28" s="26"/>
      <c r="E28" s="26"/>
      <c r="F28" s="26"/>
      <c r="G28" s="26"/>
      <c r="H28" s="26"/>
      <c r="I28" s="26"/>
      <c r="J28" s="26"/>
      <c r="K28" s="26"/>
    </row>
    <row r="29" ht="15" customHeight="1">
      <c r="A29" s="25">
        <v>23</v>
      </c>
      <c r="B29" s="25" t="s">
        <v>83</v>
      </c>
      <c r="C29" s="25"/>
      <c r="D29" s="25"/>
      <c r="E29" s="25"/>
      <c r="F29" s="25"/>
      <c r="G29" s="25"/>
      <c r="H29" s="25"/>
      <c r="I29" s="25"/>
      <c r="J29" s="25"/>
      <c r="K29" s="25"/>
    </row>
    <row r="30" ht="15" customHeight="1">
      <c r="A30" s="26">
        <v>24</v>
      </c>
      <c r="B30" s="26" t="s">
        <v>83</v>
      </c>
      <c r="C30" s="26"/>
      <c r="D30" s="26"/>
      <c r="E30" s="26"/>
      <c r="F30" s="26"/>
      <c r="G30" s="26"/>
      <c r="H30" s="26"/>
      <c r="I30" s="26"/>
      <c r="J30" s="26"/>
      <c r="K30" s="26"/>
    </row>
    <row r="31" ht="15" customHeight="1">
      <c r="A31" s="25">
        <v>25</v>
      </c>
      <c r="B31" s="25" t="s">
        <v>83</v>
      </c>
      <c r="C31" s="25"/>
      <c r="D31" s="25"/>
      <c r="E31" s="25"/>
      <c r="F31" s="25"/>
      <c r="G31" s="25"/>
      <c r="H31" s="25"/>
      <c r="I31" s="25"/>
      <c r="J31" s="25"/>
      <c r="K31" s="25"/>
    </row>
    <row r="32" ht="15" customHeight="1">
      <c r="A32" s="26">
        <v>26</v>
      </c>
      <c r="B32" s="26" t="s">
        <v>83</v>
      </c>
      <c r="C32" s="26"/>
      <c r="D32" s="26"/>
      <c r="E32" s="26"/>
      <c r="F32" s="26"/>
      <c r="G32" s="26"/>
      <c r="H32" s="26"/>
      <c r="I32" s="26"/>
      <c r="J32" s="26"/>
      <c r="K32" s="26"/>
    </row>
    <row r="33" ht="15" customHeight="1">
      <c r="A33" s="25">
        <v>27</v>
      </c>
      <c r="B33" s="25" t="s">
        <v>83</v>
      </c>
      <c r="C33" s="25"/>
      <c r="D33" s="25"/>
      <c r="E33" s="25"/>
      <c r="F33" s="25"/>
      <c r="G33" s="25"/>
      <c r="H33" s="25"/>
      <c r="I33" s="25"/>
      <c r="J33" s="25"/>
      <c r="K33" s="25"/>
    </row>
    <row r="34" ht="15" customHeight="1">
      <c r="A34" s="26">
        <v>28</v>
      </c>
      <c r="B34" s="26" t="s">
        <v>83</v>
      </c>
      <c r="C34" s="26"/>
      <c r="D34" s="26"/>
      <c r="E34" s="26"/>
      <c r="F34" s="26"/>
      <c r="G34" s="26"/>
      <c r="H34" s="26"/>
      <c r="I34" s="26"/>
      <c r="J34" s="26"/>
      <c r="K34" s="26"/>
    </row>
    <row r="35" ht="15" customHeight="1">
      <c r="A35" s="25">
        <v>29</v>
      </c>
      <c r="B35" s="25" t="s">
        <v>83</v>
      </c>
      <c r="C35" s="25"/>
      <c r="D35" s="25"/>
      <c r="E35" s="25"/>
      <c r="F35" s="25"/>
      <c r="G35" s="25"/>
      <c r="H35" s="25"/>
      <c r="I35" s="25"/>
      <c r="J35" s="25"/>
      <c r="K35" s="25"/>
    </row>
    <row r="36" ht="15" customHeight="1">
      <c r="A36" s="26">
        <v>30</v>
      </c>
      <c r="B36" s="26" t="s">
        <v>83</v>
      </c>
      <c r="C36" s="26"/>
      <c r="D36" s="26"/>
      <c r="E36" s="26"/>
      <c r="F36" s="26"/>
      <c r="G36" s="26"/>
      <c r="H36" s="26"/>
      <c r="I36" s="26"/>
      <c r="J36" s="26"/>
      <c r="K36" s="26"/>
    </row>
    <row r="37" ht="15" customHeight="1">
      <c r="A37" s="25">
        <v>31</v>
      </c>
      <c r="B37" s="25" t="s">
        <v>83</v>
      </c>
      <c r="C37" s="25"/>
      <c r="D37" s="25"/>
      <c r="E37" s="25"/>
      <c r="F37" s="25"/>
      <c r="G37" s="25"/>
      <c r="H37" s="25"/>
      <c r="I37" s="25"/>
      <c r="J37" s="25"/>
      <c r="K37" s="25"/>
    </row>
    <row r="38" ht="15" customHeight="1">
      <c r="A38" s="26">
        <v>32</v>
      </c>
      <c r="B38" s="26" t="s">
        <v>83</v>
      </c>
      <c r="C38" s="26"/>
      <c r="D38" s="26"/>
      <c r="E38" s="26"/>
      <c r="F38" s="26"/>
      <c r="G38" s="26"/>
      <c r="H38" s="26"/>
      <c r="I38" s="26"/>
      <c r="J38" s="26"/>
      <c r="K38" s="26"/>
    </row>
    <row r="39" ht="15" customHeight="1">
      <c r="A39" s="25">
        <v>33</v>
      </c>
      <c r="B39" s="25" t="s">
        <v>83</v>
      </c>
      <c r="C39" s="25"/>
      <c r="D39" s="25"/>
      <c r="E39" s="25"/>
      <c r="F39" s="25"/>
      <c r="G39" s="25"/>
      <c r="H39" s="25"/>
      <c r="I39" s="25"/>
      <c r="J39" s="25"/>
      <c r="K39" s="25"/>
    </row>
    <row r="40" ht="15" customHeight="1">
      <c r="A40" s="26">
        <v>34</v>
      </c>
      <c r="B40" s="26" t="s">
        <v>83</v>
      </c>
      <c r="C40" s="26"/>
      <c r="D40" s="26"/>
      <c r="E40" s="26"/>
      <c r="F40" s="26"/>
      <c r="G40" s="26"/>
      <c r="H40" s="26"/>
      <c r="I40" s="26"/>
      <c r="J40" s="26"/>
      <c r="K40" s="26"/>
    </row>
    <row r="41" ht="15" customHeight="1">
      <c r="A41" s="25">
        <v>35</v>
      </c>
      <c r="B41" s="25" t="s">
        <v>83</v>
      </c>
      <c r="C41" s="25"/>
      <c r="D41" s="25"/>
      <c r="E41" s="25"/>
      <c r="F41" s="25"/>
      <c r="G41" s="25"/>
      <c r="H41" s="25"/>
      <c r="I41" s="25"/>
      <c r="J41" s="25"/>
      <c r="K41" s="25"/>
    </row>
    <row r="42" ht="15" customHeight="1">
      <c r="A42" s="26">
        <v>36</v>
      </c>
      <c r="B42" s="26" t="s">
        <v>83</v>
      </c>
      <c r="C42" s="26"/>
      <c r="D42" s="26"/>
      <c r="E42" s="26"/>
      <c r="F42" s="26"/>
      <c r="G42" s="26"/>
      <c r="H42" s="26"/>
      <c r="I42" s="26"/>
      <c r="J42" s="26"/>
      <c r="K42" s="26"/>
    </row>
    <row r="43" ht="15" customHeight="1">
      <c r="A43" s="25">
        <v>1</v>
      </c>
      <c r="B43" s="25" t="s">
        <v>85</v>
      </c>
      <c r="C43" s="25"/>
      <c r="D43" s="25"/>
      <c r="E43" s="25"/>
      <c r="F43" s="25"/>
      <c r="G43" s="25"/>
      <c r="H43" s="25"/>
      <c r="I43" s="25"/>
      <c r="J43" s="25"/>
      <c r="K43" s="25"/>
    </row>
    <row r="44" ht="15" customHeight="1">
      <c r="A44" s="26">
        <v>2</v>
      </c>
      <c r="B44" s="26" t="s">
        <v>85</v>
      </c>
      <c r="C44" s="26"/>
      <c r="D44" s="26"/>
      <c r="E44" s="26"/>
      <c r="F44" s="26"/>
      <c r="G44" s="26"/>
      <c r="H44" s="26"/>
      <c r="I44" s="26"/>
      <c r="J44" s="26"/>
      <c r="K44" s="26"/>
    </row>
    <row r="45" ht="15" customHeight="1">
      <c r="A45" s="25">
        <v>3</v>
      </c>
      <c r="B45" s="25" t="s">
        <v>85</v>
      </c>
      <c r="C45" s="25"/>
      <c r="D45" s="25"/>
      <c r="E45" s="25"/>
      <c r="F45" s="25"/>
      <c r="G45" s="25"/>
      <c r="H45" s="25"/>
      <c r="I45" s="25"/>
      <c r="J45" s="25"/>
      <c r="K45" s="25"/>
    </row>
    <row r="46" ht="15" customHeight="1">
      <c r="A46" s="26">
        <v>4</v>
      </c>
      <c r="B46" s="26" t="s">
        <v>85</v>
      </c>
      <c r="C46" s="26"/>
      <c r="D46" s="26"/>
      <c r="E46" s="26"/>
      <c r="F46" s="26"/>
      <c r="G46" s="26"/>
      <c r="H46" s="26"/>
      <c r="I46" s="26"/>
      <c r="J46" s="26"/>
      <c r="K46" s="26"/>
    </row>
    <row r="47" ht="15" customHeight="1">
      <c r="A47" s="25">
        <v>5</v>
      </c>
      <c r="B47" s="25" t="s">
        <v>85</v>
      </c>
      <c r="C47" s="25"/>
      <c r="D47" s="25"/>
      <c r="E47" s="25"/>
      <c r="F47" s="25"/>
      <c r="G47" s="25"/>
      <c r="H47" s="25"/>
      <c r="I47" s="25"/>
      <c r="J47" s="25"/>
      <c r="K47" s="25"/>
    </row>
    <row r="48" ht="15" customHeight="1">
      <c r="A48" s="26">
        <v>6</v>
      </c>
      <c r="B48" s="26" t="s">
        <v>85</v>
      </c>
      <c r="C48" s="26"/>
      <c r="D48" s="26"/>
      <c r="E48" s="26"/>
      <c r="F48" s="26"/>
      <c r="G48" s="26"/>
      <c r="H48" s="26"/>
      <c r="I48" s="26"/>
      <c r="J48" s="26"/>
      <c r="K48" s="26"/>
    </row>
    <row r="49" ht="15" customHeight="1">
      <c r="A49" s="25">
        <v>7</v>
      </c>
      <c r="B49" s="25" t="s">
        <v>85</v>
      </c>
      <c r="C49" s="25"/>
      <c r="D49" s="25"/>
      <c r="E49" s="25"/>
      <c r="F49" s="25"/>
      <c r="G49" s="25"/>
      <c r="H49" s="25"/>
      <c r="I49" s="25"/>
      <c r="J49" s="25"/>
      <c r="K49" s="25"/>
    </row>
    <row r="50" ht="15" customHeight="1">
      <c r="A50" s="26">
        <v>8</v>
      </c>
      <c r="B50" s="26" t="s">
        <v>85</v>
      </c>
      <c r="C50" s="26"/>
      <c r="D50" s="26"/>
      <c r="E50" s="26"/>
      <c r="F50" s="26"/>
      <c r="G50" s="26"/>
      <c r="H50" s="26"/>
      <c r="I50" s="26"/>
      <c r="J50" s="26"/>
      <c r="K50" s="26"/>
    </row>
    <row r="51" ht="15" customHeight="1">
      <c r="A51" s="25">
        <v>9</v>
      </c>
      <c r="B51" s="25" t="s">
        <v>85</v>
      </c>
      <c r="C51" s="25"/>
      <c r="D51" s="25"/>
      <c r="E51" s="25"/>
      <c r="F51" s="25"/>
      <c r="G51" s="25"/>
      <c r="H51" s="25"/>
      <c r="I51" s="25"/>
      <c r="J51" s="25"/>
      <c r="K51" s="25"/>
    </row>
    <row r="52" ht="15" customHeight="1">
      <c r="A52" s="26">
        <v>10</v>
      </c>
      <c r="B52" s="26" t="s">
        <v>85</v>
      </c>
      <c r="C52" s="26"/>
      <c r="D52" s="26"/>
      <c r="E52" s="26"/>
      <c r="F52" s="26"/>
      <c r="G52" s="26"/>
      <c r="H52" s="26"/>
      <c r="I52" s="26"/>
      <c r="J52" s="26"/>
      <c r="K52" s="26"/>
    </row>
    <row r="53" ht="15" customHeight="1">
      <c r="A53" s="25">
        <v>11</v>
      </c>
      <c r="B53" s="25" t="s">
        <v>85</v>
      </c>
      <c r="C53" s="25"/>
      <c r="D53" s="25"/>
      <c r="E53" s="25"/>
      <c r="F53" s="25"/>
      <c r="G53" s="25"/>
      <c r="H53" s="25"/>
      <c r="I53" s="25"/>
      <c r="J53" s="25"/>
      <c r="K53" s="25"/>
    </row>
    <row r="54" ht="15" customHeight="1">
      <c r="A54" s="26">
        <v>12</v>
      </c>
      <c r="B54" s="26" t="s">
        <v>85</v>
      </c>
      <c r="C54" s="26"/>
      <c r="D54" s="26"/>
      <c r="E54" s="26"/>
      <c r="F54" s="26"/>
      <c r="G54" s="26"/>
      <c r="H54" s="26"/>
      <c r="I54" s="26"/>
      <c r="J54" s="26"/>
      <c r="K54" s="26"/>
    </row>
    <row r="55" ht="15" customHeight="1">
      <c r="A55" s="25">
        <v>13</v>
      </c>
      <c r="B55" s="25" t="s">
        <v>85</v>
      </c>
      <c r="C55" s="25"/>
      <c r="D55" s="25"/>
      <c r="E55" s="25"/>
      <c r="F55" s="25"/>
      <c r="G55" s="25"/>
      <c r="H55" s="25"/>
      <c r="I55" s="25"/>
      <c r="J55" s="25"/>
      <c r="K55" s="25"/>
    </row>
    <row r="56" ht="15" customHeight="1">
      <c r="A56" s="26">
        <v>14</v>
      </c>
      <c r="B56" s="26" t="s">
        <v>85</v>
      </c>
      <c r="C56" s="26"/>
      <c r="D56" s="26"/>
      <c r="E56" s="26"/>
      <c r="F56" s="26"/>
      <c r="G56" s="26"/>
      <c r="H56" s="26"/>
      <c r="I56" s="26"/>
      <c r="J56" s="26"/>
      <c r="K56" s="26"/>
    </row>
    <row r="57" ht="15" customHeight="1">
      <c r="A57" s="25">
        <v>15</v>
      </c>
      <c r="B57" s="25" t="s">
        <v>85</v>
      </c>
      <c r="C57" s="25"/>
      <c r="D57" s="25"/>
      <c r="E57" s="25"/>
      <c r="F57" s="25"/>
      <c r="G57" s="25"/>
      <c r="H57" s="25"/>
      <c r="I57" s="25"/>
      <c r="J57" s="25"/>
      <c r="K57" s="25"/>
    </row>
    <row r="58" ht="15" customHeight="1">
      <c r="A58" s="26">
        <v>16</v>
      </c>
      <c r="B58" s="26" t="s">
        <v>85</v>
      </c>
      <c r="C58" s="26"/>
      <c r="D58" s="26"/>
      <c r="E58" s="26"/>
      <c r="F58" s="26"/>
      <c r="G58" s="26"/>
      <c r="H58" s="26"/>
      <c r="I58" s="26"/>
      <c r="J58" s="26"/>
      <c r="K58" s="26"/>
    </row>
    <row r="59" ht="15" customHeight="1">
      <c r="A59" s="25">
        <v>17</v>
      </c>
      <c r="B59" s="25" t="s">
        <v>85</v>
      </c>
      <c r="C59" s="25"/>
      <c r="D59" s="25"/>
      <c r="E59" s="25"/>
      <c r="F59" s="25"/>
      <c r="G59" s="25"/>
      <c r="H59" s="25"/>
      <c r="I59" s="25"/>
      <c r="J59" s="25"/>
      <c r="K59" s="25"/>
    </row>
    <row r="60" ht="15" customHeight="1">
      <c r="A60" s="26">
        <v>18</v>
      </c>
      <c r="B60" s="26" t="s">
        <v>85</v>
      </c>
      <c r="C60" s="26"/>
      <c r="D60" s="26"/>
      <c r="E60" s="26"/>
      <c r="F60" s="26"/>
      <c r="G60" s="26"/>
      <c r="H60" s="26"/>
      <c r="I60" s="26"/>
      <c r="J60" s="26"/>
      <c r="K60" s="26"/>
    </row>
    <row r="61" ht="15" customHeight="1">
      <c r="A61" s="25">
        <v>19</v>
      </c>
      <c r="B61" s="25" t="s">
        <v>85</v>
      </c>
      <c r="C61" s="25"/>
      <c r="D61" s="25"/>
      <c r="E61" s="25"/>
      <c r="F61" s="25"/>
      <c r="G61" s="25"/>
      <c r="H61" s="25"/>
      <c r="I61" s="25"/>
      <c r="J61" s="25"/>
      <c r="K61" s="25"/>
    </row>
    <row r="62" ht="15" customHeight="1">
      <c r="A62" s="26">
        <v>20</v>
      </c>
      <c r="B62" s="26" t="s">
        <v>85</v>
      </c>
      <c r="C62" s="26"/>
      <c r="D62" s="26"/>
      <c r="E62" s="26"/>
      <c r="F62" s="26"/>
      <c r="G62" s="26"/>
      <c r="H62" s="26"/>
      <c r="I62" s="26"/>
      <c r="J62" s="26"/>
      <c r="K62" s="26"/>
    </row>
    <row r="63" ht="15" customHeight="1">
      <c r="A63" s="25">
        <v>21</v>
      </c>
      <c r="B63" s="25" t="s">
        <v>85</v>
      </c>
      <c r="C63" s="25"/>
      <c r="D63" s="25"/>
      <c r="E63" s="25"/>
      <c r="F63" s="25"/>
      <c r="G63" s="25"/>
      <c r="H63" s="25"/>
      <c r="I63" s="25"/>
      <c r="J63" s="25"/>
      <c r="K63" s="25"/>
    </row>
    <row r="64" ht="15" customHeight="1">
      <c r="A64" s="26">
        <v>22</v>
      </c>
      <c r="B64" s="26" t="s">
        <v>85</v>
      </c>
      <c r="C64" s="26"/>
      <c r="D64" s="26"/>
      <c r="E64" s="26"/>
      <c r="F64" s="26"/>
      <c r="G64" s="26"/>
      <c r="H64" s="26"/>
      <c r="I64" s="26"/>
      <c r="J64" s="26"/>
      <c r="K64" s="26"/>
    </row>
    <row r="65" ht="15" customHeight="1">
      <c r="A65" s="25">
        <v>23</v>
      </c>
      <c r="B65" s="25" t="s">
        <v>85</v>
      </c>
      <c r="C65" s="25"/>
      <c r="D65" s="25"/>
      <c r="E65" s="25"/>
      <c r="F65" s="25"/>
      <c r="G65" s="25"/>
      <c r="H65" s="25"/>
      <c r="I65" s="25"/>
      <c r="J65" s="25"/>
      <c r="K65" s="25"/>
    </row>
    <row r="66" ht="15" customHeight="1">
      <c r="A66" s="26">
        <v>24</v>
      </c>
      <c r="B66" s="26" t="s">
        <v>85</v>
      </c>
      <c r="C66" s="26"/>
      <c r="D66" s="26"/>
      <c r="E66" s="26"/>
      <c r="F66" s="26"/>
      <c r="G66" s="26"/>
      <c r="H66" s="26"/>
      <c r="I66" s="26"/>
      <c r="J66" s="26"/>
      <c r="K66" s="26"/>
    </row>
    <row r="67" ht="15" customHeight="1">
      <c r="A67" s="25">
        <v>25</v>
      </c>
      <c r="B67" s="25" t="s">
        <v>85</v>
      </c>
      <c r="C67" s="25"/>
      <c r="D67" s="25"/>
      <c r="E67" s="25"/>
      <c r="F67" s="25"/>
      <c r="G67" s="25"/>
      <c r="H67" s="25"/>
      <c r="I67" s="25"/>
      <c r="J67" s="25"/>
      <c r="K67" s="25"/>
    </row>
    <row r="68" ht="15" customHeight="1">
      <c r="A68" s="26">
        <v>26</v>
      </c>
      <c r="B68" s="26" t="s">
        <v>85</v>
      </c>
      <c r="C68" s="26"/>
      <c r="D68" s="26"/>
      <c r="E68" s="26"/>
      <c r="F68" s="26"/>
      <c r="G68" s="26"/>
      <c r="H68" s="26"/>
      <c r="I68" s="26"/>
      <c r="J68" s="26"/>
      <c r="K68" s="26"/>
    </row>
    <row r="69" ht="15" customHeight="1">
      <c r="A69" s="25">
        <v>27</v>
      </c>
      <c r="B69" s="25" t="s">
        <v>85</v>
      </c>
      <c r="C69" s="25"/>
      <c r="D69" s="25"/>
      <c r="E69" s="25"/>
      <c r="F69" s="25"/>
      <c r="G69" s="25"/>
      <c r="H69" s="25"/>
      <c r="I69" s="25"/>
      <c r="J69" s="25"/>
      <c r="K69" s="25"/>
    </row>
    <row r="70" ht="15" customHeight="1">
      <c r="A70" s="26">
        <v>28</v>
      </c>
      <c r="B70" s="26" t="s">
        <v>85</v>
      </c>
      <c r="C70" s="26"/>
      <c r="D70" s="26"/>
      <c r="E70" s="26"/>
      <c r="F70" s="26"/>
      <c r="G70" s="26"/>
      <c r="H70" s="26"/>
      <c r="I70" s="26"/>
      <c r="J70" s="26"/>
      <c r="K70" s="26"/>
    </row>
    <row r="71" ht="15" customHeight="1">
      <c r="A71" s="25">
        <v>29</v>
      </c>
      <c r="B71" s="25" t="s">
        <v>85</v>
      </c>
      <c r="C71" s="25"/>
      <c r="D71" s="25"/>
      <c r="E71" s="25"/>
      <c r="F71" s="25"/>
      <c r="G71" s="25"/>
      <c r="H71" s="25"/>
      <c r="I71" s="25"/>
      <c r="J71" s="25"/>
      <c r="K71" s="25"/>
    </row>
    <row r="72" ht="15" customHeight="1">
      <c r="A72" s="26">
        <v>30</v>
      </c>
      <c r="B72" s="26" t="s">
        <v>85</v>
      </c>
      <c r="C72" s="26"/>
      <c r="D72" s="26"/>
      <c r="E72" s="26"/>
      <c r="F72" s="26"/>
      <c r="G72" s="26"/>
      <c r="H72" s="26"/>
      <c r="I72" s="26"/>
      <c r="J72" s="26"/>
      <c r="K72" s="26"/>
    </row>
    <row r="73" ht="15" customHeight="1">
      <c r="A73" s="25">
        <v>31</v>
      </c>
      <c r="B73" s="25" t="s">
        <v>85</v>
      </c>
      <c r="C73" s="25"/>
      <c r="D73" s="25"/>
      <c r="E73" s="25"/>
      <c r="F73" s="25"/>
      <c r="G73" s="25"/>
      <c r="H73" s="25"/>
      <c r="I73" s="25"/>
      <c r="J73" s="25"/>
      <c r="K73" s="25"/>
    </row>
    <row r="74" ht="15" customHeight="1">
      <c r="A74" s="26">
        <v>32</v>
      </c>
      <c r="B74" s="26" t="s">
        <v>85</v>
      </c>
      <c r="C74" s="26"/>
      <c r="D74" s="26"/>
      <c r="E74" s="26"/>
      <c r="F74" s="26"/>
      <c r="G74" s="26"/>
      <c r="H74" s="26"/>
      <c r="I74" s="26"/>
      <c r="J74" s="26"/>
      <c r="K74" s="26"/>
    </row>
    <row r="75" ht="15" customHeight="1">
      <c r="A75" s="25">
        <v>33</v>
      </c>
      <c r="B75" s="25" t="s">
        <v>85</v>
      </c>
      <c r="C75" s="25"/>
      <c r="D75" s="25"/>
      <c r="E75" s="25"/>
      <c r="F75" s="25"/>
      <c r="G75" s="25"/>
      <c r="H75" s="25"/>
      <c r="I75" s="25"/>
      <c r="J75" s="25"/>
      <c r="K75" s="25"/>
    </row>
    <row r="76" ht="15" customHeight="1">
      <c r="A76" s="26">
        <v>34</v>
      </c>
      <c r="B76" s="26" t="s">
        <v>85</v>
      </c>
      <c r="C76" s="26"/>
      <c r="D76" s="26"/>
      <c r="E76" s="26"/>
      <c r="F76" s="26"/>
      <c r="G76" s="26"/>
      <c r="H76" s="26"/>
      <c r="I76" s="26"/>
      <c r="J76" s="26"/>
      <c r="K76" s="26"/>
    </row>
    <row r="77" ht="15" customHeight="1">
      <c r="A77" s="25">
        <v>35</v>
      </c>
      <c r="B77" s="25" t="s">
        <v>85</v>
      </c>
      <c r="C77" s="25"/>
      <c r="D77" s="25"/>
      <c r="E77" s="25"/>
      <c r="F77" s="25"/>
      <c r="G77" s="25"/>
      <c r="H77" s="25"/>
      <c r="I77" s="25"/>
      <c r="J77" s="25"/>
      <c r="K77" s="25"/>
    </row>
    <row r="78" ht="15" customHeight="1">
      <c r="A78" s="26">
        <v>36</v>
      </c>
      <c r="B78" s="26" t="s">
        <v>85</v>
      </c>
      <c r="C78" s="26"/>
      <c r="D78" s="26"/>
      <c r="E78" s="26"/>
      <c r="F78" s="26"/>
      <c r="G78" s="26"/>
      <c r="H78" s="26"/>
      <c r="I78" s="26"/>
      <c r="J78" s="26"/>
      <c r="K78" s="26"/>
    </row>
    <row r="79" ht="15" customHeight="1">
      <c r="A79" s="25">
        <v>1</v>
      </c>
      <c r="B79" s="25" t="s">
        <v>87</v>
      </c>
      <c r="C79" s="25"/>
      <c r="D79" s="25"/>
      <c r="E79" s="25"/>
      <c r="F79" s="25"/>
      <c r="G79" s="25"/>
      <c r="H79" s="25"/>
      <c r="I79" s="25"/>
      <c r="J79" s="25"/>
      <c r="K79" s="25"/>
    </row>
    <row r="80" ht="15" customHeight="1">
      <c r="A80" s="26">
        <v>2</v>
      </c>
      <c r="B80" s="26" t="s">
        <v>87</v>
      </c>
      <c r="C80" s="26"/>
      <c r="D80" s="26"/>
      <c r="E80" s="26"/>
      <c r="F80" s="26"/>
      <c r="G80" s="26"/>
      <c r="H80" s="26"/>
      <c r="I80" s="26"/>
      <c r="J80" s="26"/>
      <c r="K80" s="26"/>
    </row>
    <row r="81" ht="15" customHeight="1">
      <c r="A81" s="25">
        <v>3</v>
      </c>
      <c r="B81" s="25" t="s">
        <v>87</v>
      </c>
      <c r="C81" s="25"/>
      <c r="D81" s="25"/>
      <c r="E81" s="25"/>
      <c r="F81" s="25"/>
      <c r="G81" s="25"/>
      <c r="H81" s="25"/>
      <c r="I81" s="25"/>
      <c r="J81" s="25"/>
      <c r="K81" s="25"/>
    </row>
    <row r="82" ht="15" customHeight="1">
      <c r="A82" s="26">
        <v>4</v>
      </c>
      <c r="B82" s="26" t="s">
        <v>87</v>
      </c>
      <c r="C82" s="26"/>
      <c r="D82" s="26"/>
      <c r="E82" s="26"/>
      <c r="F82" s="26"/>
      <c r="G82" s="26"/>
      <c r="H82" s="26"/>
      <c r="I82" s="26"/>
      <c r="J82" s="26"/>
      <c r="K82" s="26"/>
    </row>
    <row r="83" ht="15" customHeight="1">
      <c r="A83" s="25">
        <v>5</v>
      </c>
      <c r="B83" s="25" t="s">
        <v>87</v>
      </c>
      <c r="C83" s="25"/>
      <c r="D83" s="25"/>
      <c r="E83" s="25"/>
      <c r="F83" s="25"/>
      <c r="G83" s="25"/>
      <c r="H83" s="25"/>
      <c r="I83" s="25"/>
      <c r="J83" s="25"/>
      <c r="K83" s="25"/>
    </row>
    <row r="84" ht="15" customHeight="1">
      <c r="A84" s="26">
        <v>6</v>
      </c>
      <c r="B84" s="26" t="s">
        <v>87</v>
      </c>
      <c r="C84" s="26"/>
      <c r="D84" s="26"/>
      <c r="E84" s="26"/>
      <c r="F84" s="26"/>
      <c r="G84" s="26"/>
      <c r="H84" s="26"/>
      <c r="I84" s="26"/>
      <c r="J84" s="26"/>
      <c r="K84" s="26"/>
    </row>
    <row r="85" ht="15" customHeight="1">
      <c r="A85" s="25">
        <v>7</v>
      </c>
      <c r="B85" s="25" t="s">
        <v>87</v>
      </c>
      <c r="C85" s="25"/>
      <c r="D85" s="25"/>
      <c r="E85" s="25"/>
      <c r="F85" s="25"/>
      <c r="G85" s="25"/>
      <c r="H85" s="25"/>
      <c r="I85" s="25"/>
      <c r="J85" s="25"/>
      <c r="K85" s="25"/>
    </row>
    <row r="86" ht="15" customHeight="1">
      <c r="A86" s="26">
        <v>8</v>
      </c>
      <c r="B86" s="26" t="s">
        <v>87</v>
      </c>
      <c r="C86" s="26"/>
      <c r="D86" s="26"/>
      <c r="E86" s="26"/>
      <c r="F86" s="26"/>
      <c r="G86" s="26"/>
      <c r="H86" s="26"/>
      <c r="I86" s="26"/>
      <c r="J86" s="26"/>
      <c r="K86" s="26"/>
    </row>
    <row r="87" ht="15" customHeight="1">
      <c r="A87" s="25">
        <v>9</v>
      </c>
      <c r="B87" s="25" t="s">
        <v>87</v>
      </c>
      <c r="C87" s="25"/>
      <c r="D87" s="25"/>
      <c r="E87" s="25"/>
      <c r="F87" s="25"/>
      <c r="G87" s="25"/>
      <c r="H87" s="25"/>
      <c r="I87" s="25"/>
      <c r="J87" s="25"/>
      <c r="K87" s="25"/>
    </row>
    <row r="88" ht="15" customHeight="1">
      <c r="A88" s="26">
        <v>10</v>
      </c>
      <c r="B88" s="26" t="s">
        <v>87</v>
      </c>
      <c r="C88" s="26"/>
      <c r="D88" s="26"/>
      <c r="E88" s="26"/>
      <c r="F88" s="26"/>
      <c r="G88" s="26"/>
      <c r="H88" s="26"/>
      <c r="I88" s="26"/>
      <c r="J88" s="26"/>
      <c r="K88" s="26"/>
    </row>
    <row r="89" ht="15" customHeight="1">
      <c r="A89" s="25">
        <v>11</v>
      </c>
      <c r="B89" s="25" t="s">
        <v>87</v>
      </c>
      <c r="C89" s="25"/>
      <c r="D89" s="25"/>
      <c r="E89" s="25"/>
      <c r="F89" s="25"/>
      <c r="G89" s="25"/>
      <c r="H89" s="25"/>
      <c r="I89" s="25"/>
      <c r="J89" s="25"/>
      <c r="K89" s="25"/>
    </row>
    <row r="90" ht="15" customHeight="1">
      <c r="A90" s="26">
        <v>12</v>
      </c>
      <c r="B90" s="26" t="s">
        <v>87</v>
      </c>
      <c r="C90" s="26"/>
      <c r="D90" s="26"/>
      <c r="E90" s="26"/>
      <c r="F90" s="26"/>
      <c r="G90" s="26"/>
      <c r="H90" s="26"/>
      <c r="I90" s="26"/>
      <c r="J90" s="26"/>
      <c r="K90" s="26"/>
    </row>
    <row r="91" ht="15" customHeight="1">
      <c r="A91" s="25">
        <v>13</v>
      </c>
      <c r="B91" s="25" t="s">
        <v>87</v>
      </c>
      <c r="C91" s="25"/>
      <c r="D91" s="25"/>
      <c r="E91" s="25"/>
      <c r="F91" s="25"/>
      <c r="G91" s="25"/>
      <c r="H91" s="25"/>
      <c r="I91" s="25"/>
      <c r="J91" s="25"/>
      <c r="K91" s="25"/>
    </row>
    <row r="92" ht="15" customHeight="1">
      <c r="A92" s="26">
        <v>14</v>
      </c>
      <c r="B92" s="26" t="s">
        <v>87</v>
      </c>
      <c r="C92" s="26"/>
      <c r="D92" s="26"/>
      <c r="E92" s="26"/>
      <c r="F92" s="26"/>
      <c r="G92" s="26"/>
      <c r="H92" s="26"/>
      <c r="I92" s="26"/>
      <c r="J92" s="26"/>
      <c r="K92" s="26"/>
    </row>
    <row r="93" ht="15" customHeight="1">
      <c r="A93" s="25">
        <v>15</v>
      </c>
      <c r="B93" s="25" t="s">
        <v>87</v>
      </c>
      <c r="C93" s="25"/>
      <c r="D93" s="25"/>
      <c r="E93" s="25"/>
      <c r="F93" s="25"/>
      <c r="G93" s="25"/>
      <c r="H93" s="25"/>
      <c r="I93" s="25"/>
      <c r="J93" s="25"/>
      <c r="K93" s="25"/>
    </row>
    <row r="94" ht="15" customHeight="1">
      <c r="A94" s="26">
        <v>16</v>
      </c>
      <c r="B94" s="26" t="s">
        <v>87</v>
      </c>
      <c r="C94" s="26"/>
      <c r="D94" s="26"/>
      <c r="E94" s="26"/>
      <c r="F94" s="26"/>
      <c r="G94" s="26"/>
      <c r="H94" s="26"/>
      <c r="I94" s="26"/>
      <c r="J94" s="26"/>
      <c r="K94" s="26"/>
    </row>
    <row r="95" ht="15" customHeight="1">
      <c r="A95" s="25">
        <v>17</v>
      </c>
      <c r="B95" s="25" t="s">
        <v>87</v>
      </c>
      <c r="C95" s="25"/>
      <c r="D95" s="25"/>
      <c r="E95" s="25"/>
      <c r="F95" s="25"/>
      <c r="G95" s="25"/>
      <c r="H95" s="25"/>
      <c r="I95" s="25"/>
      <c r="J95" s="25"/>
      <c r="K95" s="25"/>
    </row>
    <row r="96" ht="15" customHeight="1">
      <c r="A96" s="26">
        <v>18</v>
      </c>
      <c r="B96" s="26" t="s">
        <v>87</v>
      </c>
      <c r="C96" s="26"/>
      <c r="D96" s="26"/>
      <c r="E96" s="26"/>
      <c r="F96" s="26"/>
      <c r="G96" s="26"/>
      <c r="H96" s="26"/>
      <c r="I96" s="26"/>
      <c r="J96" s="26"/>
      <c r="K96" s="26"/>
    </row>
    <row r="97" ht="15" customHeight="1">
      <c r="A97" s="25">
        <v>19</v>
      </c>
      <c r="B97" s="25" t="s">
        <v>87</v>
      </c>
      <c r="C97" s="25"/>
      <c r="D97" s="25"/>
      <c r="E97" s="25"/>
      <c r="F97" s="25"/>
      <c r="G97" s="25"/>
      <c r="H97" s="25"/>
      <c r="I97" s="25"/>
      <c r="J97" s="25"/>
      <c r="K97" s="25"/>
    </row>
    <row r="98" ht="15" customHeight="1">
      <c r="A98" s="26">
        <v>20</v>
      </c>
      <c r="B98" s="26" t="s">
        <v>87</v>
      </c>
      <c r="C98" s="26"/>
      <c r="D98" s="26"/>
      <c r="E98" s="26"/>
      <c r="F98" s="26"/>
      <c r="G98" s="26"/>
      <c r="H98" s="26"/>
      <c r="I98" s="26"/>
      <c r="J98" s="26"/>
      <c r="K98" s="26"/>
    </row>
    <row r="99" ht="15" customHeight="1">
      <c r="A99" s="25">
        <v>21</v>
      </c>
      <c r="B99" s="25" t="s">
        <v>87</v>
      </c>
      <c r="C99" s="25"/>
      <c r="D99" s="25"/>
      <c r="E99" s="25"/>
      <c r="F99" s="25"/>
      <c r="G99" s="25"/>
      <c r="H99" s="25"/>
      <c r="I99" s="25"/>
      <c r="J99" s="25"/>
      <c r="K99" s="25"/>
    </row>
    <row r="100" ht="15" customHeight="1">
      <c r="A100" s="26">
        <v>22</v>
      </c>
      <c r="B100" s="26" t="s">
        <v>87</v>
      </c>
      <c r="C100" s="26"/>
      <c r="D100" s="26"/>
      <c r="E100" s="26"/>
      <c r="F100" s="26"/>
      <c r="G100" s="26"/>
      <c r="H100" s="26"/>
      <c r="I100" s="26"/>
      <c r="J100" s="26"/>
      <c r="K100" s="26"/>
    </row>
    <row r="101" ht="15" customHeight="1">
      <c r="A101" s="25">
        <v>23</v>
      </c>
      <c r="B101" s="25" t="s">
        <v>87</v>
      </c>
      <c r="C101" s="25"/>
      <c r="D101" s="25"/>
      <c r="E101" s="25"/>
      <c r="F101" s="25"/>
      <c r="G101" s="25"/>
      <c r="H101" s="25"/>
      <c r="I101" s="25"/>
      <c r="J101" s="25"/>
      <c r="K101" s="25"/>
    </row>
    <row r="102" ht="15" customHeight="1">
      <c r="A102" s="26">
        <v>24</v>
      </c>
      <c r="B102" s="26" t="s">
        <v>87</v>
      </c>
      <c r="C102" s="26"/>
      <c r="D102" s="26"/>
      <c r="E102" s="26"/>
      <c r="F102" s="26"/>
      <c r="G102" s="26"/>
      <c r="H102" s="26"/>
      <c r="I102" s="26"/>
      <c r="J102" s="26"/>
      <c r="K102" s="26"/>
    </row>
    <row r="103" ht="15" customHeight="1">
      <c r="A103" s="25">
        <v>25</v>
      </c>
      <c r="B103" s="25" t="s">
        <v>87</v>
      </c>
      <c r="C103" s="25"/>
      <c r="D103" s="25"/>
      <c r="E103" s="25"/>
      <c r="F103" s="25"/>
      <c r="G103" s="25"/>
      <c r="H103" s="25"/>
      <c r="I103" s="25"/>
      <c r="J103" s="25"/>
      <c r="K103" s="25"/>
    </row>
    <row r="104" ht="15" customHeight="1">
      <c r="A104" s="26">
        <v>26</v>
      </c>
      <c r="B104" s="26" t="s">
        <v>87</v>
      </c>
      <c r="C104" s="26"/>
      <c r="D104" s="26"/>
      <c r="E104" s="26"/>
      <c r="F104" s="26"/>
      <c r="G104" s="26"/>
      <c r="H104" s="26"/>
      <c r="I104" s="26"/>
      <c r="J104" s="26"/>
      <c r="K104" s="26"/>
    </row>
    <row r="105" ht="15" customHeight="1">
      <c r="A105" s="25">
        <v>27</v>
      </c>
      <c r="B105" s="25" t="s">
        <v>87</v>
      </c>
      <c r="C105" s="25"/>
      <c r="D105" s="25"/>
      <c r="E105" s="25"/>
      <c r="F105" s="25"/>
      <c r="G105" s="25"/>
      <c r="H105" s="25"/>
      <c r="I105" s="25"/>
      <c r="J105" s="25"/>
      <c r="K105" s="25"/>
    </row>
    <row r="106" ht="15" customHeight="1">
      <c r="A106" s="26">
        <v>28</v>
      </c>
      <c r="B106" s="26" t="s">
        <v>87</v>
      </c>
      <c r="C106" s="26"/>
      <c r="D106" s="26"/>
      <c r="E106" s="26"/>
      <c r="F106" s="26"/>
      <c r="G106" s="26"/>
      <c r="H106" s="26"/>
      <c r="I106" s="26"/>
      <c r="J106" s="26"/>
      <c r="K106" s="26"/>
    </row>
    <row r="107" ht="15" customHeight="1">
      <c r="A107" s="25">
        <v>29</v>
      </c>
      <c r="B107" s="25" t="s">
        <v>87</v>
      </c>
      <c r="C107" s="25"/>
      <c r="D107" s="25"/>
      <c r="E107" s="25"/>
      <c r="F107" s="25"/>
      <c r="G107" s="25"/>
      <c r="H107" s="25"/>
      <c r="I107" s="25"/>
      <c r="J107" s="25"/>
      <c r="K107" s="25"/>
    </row>
    <row r="108" ht="15" customHeight="1">
      <c r="A108" s="26">
        <v>30</v>
      </c>
      <c r="B108" s="26" t="s">
        <v>87</v>
      </c>
      <c r="C108" s="26"/>
      <c r="D108" s="26"/>
      <c r="E108" s="26"/>
      <c r="F108" s="26"/>
      <c r="G108" s="26"/>
      <c r="H108" s="26"/>
      <c r="I108" s="26"/>
      <c r="J108" s="26"/>
      <c r="K108" s="26"/>
    </row>
    <row r="109" ht="15" customHeight="1">
      <c r="A109" s="25">
        <v>31</v>
      </c>
      <c r="B109" s="25" t="s">
        <v>87</v>
      </c>
      <c r="C109" s="25"/>
      <c r="D109" s="25"/>
      <c r="E109" s="25"/>
      <c r="F109" s="25"/>
      <c r="G109" s="25"/>
      <c r="H109" s="25"/>
      <c r="I109" s="25"/>
      <c r="J109" s="25"/>
      <c r="K109" s="25"/>
    </row>
    <row r="110" ht="15" customHeight="1">
      <c r="A110" s="26">
        <v>32</v>
      </c>
      <c r="B110" s="26" t="s">
        <v>87</v>
      </c>
      <c r="C110" s="26"/>
      <c r="D110" s="26"/>
      <c r="E110" s="26"/>
      <c r="F110" s="26"/>
      <c r="G110" s="26"/>
      <c r="H110" s="26"/>
      <c r="I110" s="26"/>
      <c r="J110" s="26"/>
      <c r="K110" s="26"/>
    </row>
    <row r="111" ht="15" customHeight="1">
      <c r="A111" s="25">
        <v>33</v>
      </c>
      <c r="B111" s="25" t="s">
        <v>87</v>
      </c>
      <c r="C111" s="25"/>
      <c r="D111" s="25"/>
      <c r="E111" s="25"/>
      <c r="F111" s="25"/>
      <c r="G111" s="25"/>
      <c r="H111" s="25"/>
      <c r="I111" s="25"/>
      <c r="J111" s="25"/>
      <c r="K111" s="25"/>
    </row>
    <row r="112" ht="15" customHeight="1">
      <c r="A112" s="26">
        <v>34</v>
      </c>
      <c r="B112" s="26" t="s">
        <v>87</v>
      </c>
      <c r="C112" s="26"/>
      <c r="D112" s="26"/>
      <c r="E112" s="26"/>
      <c r="F112" s="26"/>
      <c r="G112" s="26"/>
      <c r="H112" s="26"/>
      <c r="I112" s="26"/>
      <c r="J112" s="26"/>
      <c r="K112" s="26"/>
    </row>
    <row r="113" ht="15" customHeight="1">
      <c r="A113" s="25">
        <v>35</v>
      </c>
      <c r="B113" s="25" t="s">
        <v>87</v>
      </c>
      <c r="C113" s="25"/>
      <c r="D113" s="25"/>
      <c r="E113" s="25"/>
      <c r="F113" s="25"/>
      <c r="G113" s="25"/>
      <c r="H113" s="25"/>
      <c r="I113" s="25"/>
      <c r="J113" s="25"/>
      <c r="K113" s="25"/>
    </row>
    <row r="114" ht="15" customHeight="1">
      <c r="A114" s="26">
        <v>36</v>
      </c>
      <c r="B114" s="26" t="s">
        <v>87</v>
      </c>
      <c r="C114" s="26"/>
      <c r="D114" s="26"/>
      <c r="E114" s="26"/>
      <c r="F114" s="26"/>
      <c r="G114" s="26"/>
      <c r="H114" s="26"/>
      <c r="I114" s="26"/>
      <c r="J114" s="26"/>
      <c r="K114" s="26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EF137A8-DBA8-4D98-4555-865CA6C2EBC8}" mc:Ignorable="x14ac xr xr2 xr3">
  <dimension ref="A1:J11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12.00390625" customWidth="1"/>
    <col min="3" max="4" width="15.00390625" customWidth="1"/>
    <col min="5" max="5" width="23.00390625" customWidth="1"/>
    <col min="6" max="6" width="16.00390625" customWidth="1"/>
    <col min="7" max="7" width="21.00390625" customWidth="1"/>
    <col min="8" max="8" width="24.00390625" customWidth="1"/>
    <col min="9" max="9" width="17.00390625" customWidth="1"/>
    <col min="10" max="10" width="15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6" t="s">
        <v>92</v>
      </c>
      <c r="B2" s="6" t="s">
        <v>77</v>
      </c>
      <c r="C2" s="6" t="s">
        <v>78</v>
      </c>
      <c r="D2" s="6" t="s">
        <v>93</v>
      </c>
      <c r="E2" s="6" t="s">
        <v>94</v>
      </c>
      <c r="F2" s="6" t="s">
        <v>95</v>
      </c>
      <c r="G2" s="6" t="s">
        <v>96</v>
      </c>
      <c r="H2" s="6" t="s">
        <v>97</v>
      </c>
      <c r="I2" s="6" t="s">
        <v>98</v>
      </c>
      <c r="J2" s="6" t="s">
        <v>99</v>
      </c>
    </row>
    <row r="3" ht="15" customHeight="1">
      <c r="A3" s="7">
        <v>1</v>
      </c>
      <c r="B3" s="7" t="s">
        <v>83</v>
      </c>
      <c r="C3" s="18">
        <v>0.35</v>
      </c>
      <c r="D3" s="16">
        <v>40425</v>
      </c>
      <c r="E3" s="16">
        <v>32340</v>
      </c>
      <c r="F3" s="16">
        <v>32200</v>
      </c>
      <c r="G3" s="16">
        <v>140</v>
      </c>
      <c r="H3" s="16">
        <f>G3-Model_Assumptions!$B$3</f>
        <v>-349860</v>
      </c>
      <c r="I3" s="7">
        <f>1/(1+Model_Assumptions!$B$8/12)^A3</f>
        <v>0.991325898389095</v>
      </c>
      <c r="J3" s="16">
        <f t="shared" si="0" ref="J3:J110">G3*I3</f>
        <v>138.785625774473</v>
      </c>
    </row>
    <row r="4" ht="15" customHeight="1">
      <c r="A4" s="8">
        <v>1</v>
      </c>
      <c r="B4" s="8" t="s">
        <v>85</v>
      </c>
      <c r="C4" s="19">
        <v>0.62</v>
      </c>
      <c r="D4" s="17">
        <v>130200</v>
      </c>
      <c r="E4" s="17">
        <v>119784</v>
      </c>
      <c r="F4" s="17">
        <v>28000</v>
      </c>
      <c r="G4" s="17">
        <v>91784</v>
      </c>
      <c r="H4" s="17">
        <f>IF(B4=B3,H3+G4,G4-Model_Assumptions!$B$3)</f>
        <v>-258216</v>
      </c>
      <c r="I4" s="8">
        <f>1/(1+Model_Assumptions!$B$8/12)^A4</f>
        <v>0.991325898389095</v>
      </c>
      <c r="J4" s="17">
        <f t="shared" si="0"/>
        <v>90987.8562577447</v>
      </c>
    </row>
    <row r="5" ht="15" customHeight="1">
      <c r="A5" s="7">
        <v>1</v>
      </c>
      <c r="B5" s="7" t="s">
        <v>87</v>
      </c>
      <c r="C5" s="18">
        <v>0.82</v>
      </c>
      <c r="D5" s="16">
        <v>249690</v>
      </c>
      <c r="E5" s="16">
        <v>242199.3</v>
      </c>
      <c r="F5" s="16">
        <v>25760</v>
      </c>
      <c r="G5" s="16">
        <v>216439.3</v>
      </c>
      <c r="H5" s="16">
        <f>IF(B5=B4,H4+G5,G5-Model_Assumptions!$B$3)</f>
        <v>-133560.7</v>
      </c>
      <c r="I5" s="7">
        <f>1/(1+Model_Assumptions!$B$8/12)^A5</f>
        <v>0.991325898389095</v>
      </c>
      <c r="J5" s="16">
        <f t="shared" si="0"/>
        <v>214561.883519207</v>
      </c>
    </row>
    <row r="6" ht="15" customHeight="1">
      <c r="A6" s="8">
        <v>2</v>
      </c>
      <c r="B6" s="8" t="s">
        <v>83</v>
      </c>
      <c r="C6" s="19">
        <v>0.35</v>
      </c>
      <c r="D6" s="17">
        <v>40808.58</v>
      </c>
      <c r="E6" s="17">
        <v>32646.87</v>
      </c>
      <c r="F6" s="17">
        <v>32200</v>
      </c>
      <c r="G6" s="17">
        <v>446.87</v>
      </c>
      <c r="H6" s="17">
        <f>IF(B6=B5,H5+G6,G6-Model_Assumptions!$B$3)</f>
        <v>-349553.13</v>
      </c>
      <c r="I6" s="8">
        <f>1/(1+Model_Assumptions!$B$8/12)^A6</f>
        <v>0.982727036816947</v>
      </c>
      <c r="J6" s="17">
        <f t="shared" si="0"/>
        <v>439.151230942389</v>
      </c>
    </row>
    <row r="7" ht="15" customHeight="1">
      <c r="A7" s="7">
        <v>2</v>
      </c>
      <c r="B7" s="7" t="s">
        <v>85</v>
      </c>
      <c r="C7" s="18">
        <v>0.62</v>
      </c>
      <c r="D7" s="16">
        <v>131435.44</v>
      </c>
      <c r="E7" s="16">
        <v>120920.61</v>
      </c>
      <c r="F7" s="16">
        <v>28000</v>
      </c>
      <c r="G7" s="16">
        <v>92920.61</v>
      </c>
      <c r="H7" s="16">
        <f>IF(B7=B6,H6+G7,G7-Model_Assumptions!$B$3)</f>
        <v>-257079.39</v>
      </c>
      <c r="I7" s="7">
        <f>1/(1+Model_Assumptions!$B$8/12)^A7</f>
        <v>0.982727036816947</v>
      </c>
      <c r="J7" s="16">
        <f t="shared" si="0"/>
        <v>91315.5957245232</v>
      </c>
    </row>
    <row r="8" ht="15" customHeight="1">
      <c r="A8" s="8">
        <v>2</v>
      </c>
      <c r="B8" s="8" t="s">
        <v>87</v>
      </c>
      <c r="C8" s="19">
        <v>0.82</v>
      </c>
      <c r="D8" s="17">
        <v>252059.26</v>
      </c>
      <c r="E8" s="17">
        <v>244497.48</v>
      </c>
      <c r="F8" s="17">
        <v>25760</v>
      </c>
      <c r="G8" s="17">
        <v>218737.48</v>
      </c>
      <c r="H8" s="17">
        <f>IF(B8=B7,H7+G8,G8-Model_Assumptions!$B$3)</f>
        <v>-131262.52</v>
      </c>
      <c r="I8" s="8">
        <f>1/(1+Model_Assumptions!$B$8/12)^A8</f>
        <v>0.982727036816947</v>
      </c>
      <c r="J8" s="17">
        <f t="shared" si="0"/>
        <v>214959.235561206</v>
      </c>
    </row>
    <row r="9" ht="15" customHeight="1">
      <c r="A9" s="7">
        <v>3</v>
      </c>
      <c r="B9" s="7" t="s">
        <v>83</v>
      </c>
      <c r="C9" s="18">
        <v>0.35</v>
      </c>
      <c r="D9" s="16">
        <v>41195.81</v>
      </c>
      <c r="E9" s="16">
        <v>32956.65</v>
      </c>
      <c r="F9" s="16">
        <v>32200</v>
      </c>
      <c r="G9" s="16">
        <v>756.65</v>
      </c>
      <c r="H9" s="16">
        <f>IF(B9=B8,H8+G9,G9-Model_Assumptions!$B$3)</f>
        <v>-349243.35</v>
      </c>
      <c r="I9" s="7">
        <f>1/(1+Model_Assumptions!$B$8/12)^A9</f>
        <v>0.974202762643814</v>
      </c>
      <c r="J9" s="16">
        <f t="shared" si="0"/>
        <v>737.130520354442</v>
      </c>
    </row>
    <row r="10" ht="15" customHeight="1">
      <c r="A10" s="8">
        <v>3</v>
      </c>
      <c r="B10" s="8" t="s">
        <v>85</v>
      </c>
      <c r="C10" s="19">
        <v>0.62</v>
      </c>
      <c r="D10" s="17">
        <v>132682.6</v>
      </c>
      <c r="E10" s="17">
        <v>122068</v>
      </c>
      <c r="F10" s="17">
        <v>28000</v>
      </c>
      <c r="G10" s="17">
        <v>94068</v>
      </c>
      <c r="H10" s="17">
        <f>IF(B10=B9,H9+G10,G10-Model_Assumptions!$B$3)</f>
        <v>-255932</v>
      </c>
      <c r="I10" s="8">
        <f>1/(1+Model_Assumptions!$B$8/12)^A10</f>
        <v>0.974202762643814</v>
      </c>
      <c r="J10" s="17">
        <f t="shared" si="0"/>
        <v>91641.3054763783</v>
      </c>
    </row>
    <row r="11" ht="15" customHeight="1">
      <c r="A11" s="7">
        <v>3</v>
      </c>
      <c r="B11" s="7" t="s">
        <v>87</v>
      </c>
      <c r="C11" s="18">
        <v>0.82</v>
      </c>
      <c r="D11" s="16">
        <v>254450.99</v>
      </c>
      <c r="E11" s="16">
        <v>246817.46</v>
      </c>
      <c r="F11" s="16">
        <v>25760</v>
      </c>
      <c r="G11" s="16">
        <v>221057.46</v>
      </c>
      <c r="H11" s="16">
        <f>IF(B11=B10,H10+G11,G11-Model_Assumptions!$B$3)</f>
        <v>-128942.54</v>
      </c>
      <c r="I11" s="7">
        <f>1/(1+Model_Assumptions!$B$8/12)^A11</f>
        <v>0.974202762643814</v>
      </c>
      <c r="J11" s="16">
        <f t="shared" si="0"/>
        <v>215354.788235024</v>
      </c>
    </row>
    <row r="12" ht="15" customHeight="1">
      <c r="A12" s="8">
        <v>4</v>
      </c>
      <c r="B12" s="8" t="s">
        <v>83</v>
      </c>
      <c r="C12" s="19">
        <v>0.35</v>
      </c>
      <c r="D12" s="17">
        <v>41586.71</v>
      </c>
      <c r="E12" s="17">
        <v>33269.37</v>
      </c>
      <c r="F12" s="17">
        <v>32200</v>
      </c>
      <c r="G12" s="17">
        <v>1069.37</v>
      </c>
      <c r="H12" s="17">
        <f>IF(B12=B11,H11+G12,G12-Model_Assumptions!$B$3)</f>
        <v>-348930.63</v>
      </c>
      <c r="I12" s="8">
        <f>1/(1+Model_Assumptions!$B$8/12)^A12</f>
        <v>0.965752428891017</v>
      </c>
      <c r="J12" s="17">
        <f t="shared" si="0"/>
        <v>1032.74667488319</v>
      </c>
    </row>
    <row r="13" ht="15" customHeight="1">
      <c r="A13" s="7">
        <v>4</v>
      </c>
      <c r="B13" s="7" t="s">
        <v>85</v>
      </c>
      <c r="C13" s="18">
        <v>0.62</v>
      </c>
      <c r="D13" s="16">
        <v>133941.6</v>
      </c>
      <c r="E13" s="16">
        <v>123226.27</v>
      </c>
      <c r="F13" s="16">
        <v>28000</v>
      </c>
      <c r="G13" s="16">
        <v>95226.27</v>
      </c>
      <c r="H13" s="16">
        <f>IF(B13=B12,H12+G13,G13-Model_Assumptions!$B$3)</f>
        <v>-254773.73</v>
      </c>
      <c r="I13" s="7">
        <f>1/(1+Model_Assumptions!$B$8/12)^A13</f>
        <v>0.965752428891017</v>
      </c>
      <c r="J13" s="16">
        <f t="shared" si="0"/>
        <v>91965.0015467318</v>
      </c>
    </row>
    <row r="14" ht="15" customHeight="1">
      <c r="A14" s="8">
        <v>4</v>
      </c>
      <c r="B14" s="8" t="s">
        <v>87</v>
      </c>
      <c r="C14" s="19">
        <v>0.82</v>
      </c>
      <c r="D14" s="17">
        <v>256865.43</v>
      </c>
      <c r="E14" s="17">
        <v>249159.46</v>
      </c>
      <c r="F14" s="17">
        <v>25760</v>
      </c>
      <c r="G14" s="17">
        <v>223399.46</v>
      </c>
      <c r="H14" s="17">
        <f>IF(B14=B13,H13+G14,G14-Model_Assumptions!$B$3)</f>
        <v>-126600.54</v>
      </c>
      <c r="I14" s="8">
        <f>1/(1+Model_Assumptions!$B$8/12)^A14</f>
        <v>0.965752428891017</v>
      </c>
      <c r="J14" s="17">
        <f t="shared" si="0"/>
        <v>215748.571107942</v>
      </c>
    </row>
    <row r="15" ht="15" customHeight="1">
      <c r="A15" s="7">
        <v>5</v>
      </c>
      <c r="B15" s="7" t="s">
        <v>83</v>
      </c>
      <c r="C15" s="18">
        <v>0.35</v>
      </c>
      <c r="D15" s="16">
        <v>41981.31</v>
      </c>
      <c r="E15" s="16">
        <v>33585.05</v>
      </c>
      <c r="F15" s="16">
        <v>32200</v>
      </c>
      <c r="G15" s="16">
        <v>1385.05</v>
      </c>
      <c r="H15" s="16">
        <f>IF(B15=B14,H14+G15,G15-Model_Assumptions!$B$3)</f>
        <v>-348614.95</v>
      </c>
      <c r="I15" s="7">
        <f>1/(1+Model_Assumptions!$B$8/12)^A15</f>
        <v>0.957375394191839</v>
      </c>
      <c r="J15" s="16">
        <f t="shared" si="0"/>
        <v>1326.01278972541</v>
      </c>
    </row>
    <row r="16" ht="15" customHeight="1">
      <c r="A16" s="8">
        <v>5</v>
      </c>
      <c r="B16" s="8" t="s">
        <v>85</v>
      </c>
      <c r="C16" s="19">
        <v>0.62</v>
      </c>
      <c r="D16" s="17">
        <v>135212.55</v>
      </c>
      <c r="E16" s="17">
        <v>124395.54</v>
      </c>
      <c r="F16" s="17">
        <v>28000</v>
      </c>
      <c r="G16" s="17">
        <v>96395.54</v>
      </c>
      <c r="H16" s="17">
        <f>IF(B16=B15,H15+G16,G16-Model_Assumptions!$B$3)</f>
        <v>-253604.46</v>
      </c>
      <c r="I16" s="8">
        <f>1/(1+Model_Assumptions!$B$8/12)^A16</f>
        <v>0.957375394191839</v>
      </c>
      <c r="J16" s="17">
        <f t="shared" si="0"/>
        <v>92286.7181058352</v>
      </c>
    </row>
    <row r="17" ht="15" customHeight="1">
      <c r="A17" s="7">
        <v>5</v>
      </c>
      <c r="B17" s="7" t="s">
        <v>87</v>
      </c>
      <c r="C17" s="18">
        <v>0.82</v>
      </c>
      <c r="D17" s="16">
        <v>259302.77</v>
      </c>
      <c r="E17" s="16">
        <v>251523.69</v>
      </c>
      <c r="F17" s="16">
        <v>25760</v>
      </c>
      <c r="G17" s="16">
        <v>225763.69</v>
      </c>
      <c r="H17" s="16">
        <f>IF(B17=B16,H16+G17,G17-Model_Assumptions!$B$3)</f>
        <v>-124236.31</v>
      </c>
      <c r="I17" s="7">
        <f>1/(1+Model_Assumptions!$B$8/12)^A17</f>
        <v>0.957375394191839</v>
      </c>
      <c r="J17" s="16">
        <f t="shared" si="0"/>
        <v>216140.601707954</v>
      </c>
    </row>
    <row r="18" ht="15" customHeight="1">
      <c r="A18" s="8">
        <v>6</v>
      </c>
      <c r="B18" s="8" t="s">
        <v>83</v>
      </c>
      <c r="C18" s="19">
        <v>0.35</v>
      </c>
      <c r="D18" s="17">
        <v>42379.67</v>
      </c>
      <c r="E18" s="17">
        <v>33903.73</v>
      </c>
      <c r="F18" s="17">
        <v>32200</v>
      </c>
      <c r="G18" s="17">
        <v>1703.73</v>
      </c>
      <c r="H18" s="17">
        <f>IF(B18=B17,H17+G18,G18-Model_Assumptions!$B$3)</f>
        <v>-348296.27</v>
      </c>
      <c r="I18" s="8">
        <f>1/(1+Model_Assumptions!$B$8/12)^A18</f>
        <v>0.949071022742839</v>
      </c>
      <c r="J18" s="17">
        <f t="shared" si="0"/>
        <v>1616.96077357766</v>
      </c>
    </row>
    <row r="19" ht="15" customHeight="1">
      <c r="A19" s="7">
        <v>6</v>
      </c>
      <c r="B19" s="7" t="s">
        <v>85</v>
      </c>
      <c r="C19" s="18">
        <v>0.62</v>
      </c>
      <c r="D19" s="16">
        <v>136495.55</v>
      </c>
      <c r="E19" s="16">
        <v>125575.91</v>
      </c>
      <c r="F19" s="16">
        <v>28000</v>
      </c>
      <c r="G19" s="16">
        <v>97575.91</v>
      </c>
      <c r="H19" s="16">
        <f>IF(B19=B18,H18+G19,G19-Model_Assumptions!$B$3)</f>
        <v>-252424.09</v>
      </c>
      <c r="I19" s="7">
        <f>1/(1+Model_Assumptions!$B$8/12)^A19</f>
        <v>0.949071022742839</v>
      </c>
      <c r="J19" s="16">
        <f t="shared" si="0"/>
        <v>92606.4686987632</v>
      </c>
    </row>
    <row r="20" ht="15" customHeight="1">
      <c r="A20" s="8">
        <v>6</v>
      </c>
      <c r="B20" s="8" t="s">
        <v>87</v>
      </c>
      <c r="C20" s="19">
        <v>0.82</v>
      </c>
      <c r="D20" s="17">
        <v>261763.24</v>
      </c>
      <c r="E20" s="17">
        <v>253910.34</v>
      </c>
      <c r="F20" s="17">
        <v>25760</v>
      </c>
      <c r="G20" s="17">
        <v>228150.34</v>
      </c>
      <c r="H20" s="17">
        <f>IF(B20=B19,H19+G20,G20-Model_Assumptions!$B$3)</f>
        <v>-121849.66</v>
      </c>
      <c r="I20" s="8">
        <f>1/(1+Model_Assumptions!$B$8/12)^A20</f>
        <v>0.949071022742839</v>
      </c>
      <c r="J20" s="17">
        <f t="shared" si="0"/>
        <v>216530.876522926</v>
      </c>
    </row>
    <row r="21" ht="15" customHeight="1">
      <c r="A21" s="7">
        <v>7</v>
      </c>
      <c r="B21" s="7" t="s">
        <v>83</v>
      </c>
      <c r="C21" s="18">
        <v>0.35</v>
      </c>
      <c r="D21" s="16">
        <v>42781.8</v>
      </c>
      <c r="E21" s="16">
        <v>34225.44</v>
      </c>
      <c r="F21" s="16">
        <v>32200</v>
      </c>
      <c r="G21" s="16">
        <v>2025.44</v>
      </c>
      <c r="H21" s="16">
        <f>IF(B21=B20,H20+G21,G21-Model_Assumptions!$B$3)</f>
        <v>-347974.56</v>
      </c>
      <c r="I21" s="7">
        <f>1/(1+Model_Assumptions!$B$8/12)^A21</f>
        <v>0.940838684255602</v>
      </c>
      <c r="J21" s="16">
        <f t="shared" si="0"/>
        <v>1905.61230463867</v>
      </c>
    </row>
    <row r="22" ht="15" customHeight="1">
      <c r="A22" s="8">
        <v>7</v>
      </c>
      <c r="B22" s="8" t="s">
        <v>85</v>
      </c>
      <c r="C22" s="19">
        <v>0.62</v>
      </c>
      <c r="D22" s="17">
        <v>137790.73</v>
      </c>
      <c r="E22" s="17">
        <v>126767.47</v>
      </c>
      <c r="F22" s="17">
        <v>28000</v>
      </c>
      <c r="G22" s="17">
        <v>98767.47</v>
      </c>
      <c r="H22" s="17">
        <f>IF(B22=B21,H21+G22,G22-Model_Assumptions!$B$3)</f>
        <v>-251232.53</v>
      </c>
      <c r="I22" s="8">
        <f>1/(1+Model_Assumptions!$B$8/12)^A22</f>
        <v>0.940838684255602</v>
      </c>
      <c r="J22" s="17">
        <f t="shared" si="0"/>
        <v>92924.2565220547</v>
      </c>
    </row>
    <row r="23" ht="15" customHeight="1">
      <c r="A23" s="7">
        <v>7</v>
      </c>
      <c r="B23" s="7" t="s">
        <v>87</v>
      </c>
      <c r="C23" s="18">
        <v>0.82</v>
      </c>
      <c r="D23" s="16">
        <v>264247.06</v>
      </c>
      <c r="E23" s="16">
        <v>256319.65</v>
      </c>
      <c r="F23" s="16">
        <v>25760</v>
      </c>
      <c r="G23" s="16">
        <v>230559.65</v>
      </c>
      <c r="H23" s="16">
        <f>IF(B23=B22,H22+G23,G23-Model_Assumptions!$B$3)</f>
        <v>-119440.35</v>
      </c>
      <c r="I23" s="7">
        <f>1/(1+Model_Assumptions!$B$8/12)^A23</f>
        <v>0.940838684255602</v>
      </c>
      <c r="J23" s="16">
        <f t="shared" si="0"/>
        <v>216919.437748432</v>
      </c>
    </row>
    <row r="24" ht="15" customHeight="1">
      <c r="A24" s="8">
        <v>8</v>
      </c>
      <c r="B24" s="8" t="s">
        <v>83</v>
      </c>
      <c r="C24" s="19">
        <v>0.35</v>
      </c>
      <c r="D24" s="17">
        <v>43187.75</v>
      </c>
      <c r="E24" s="17">
        <v>34550.2</v>
      </c>
      <c r="F24" s="17">
        <v>32200</v>
      </c>
      <c r="G24" s="17">
        <v>2350.2</v>
      </c>
      <c r="H24" s="17">
        <f>IF(B24=B23,H23+G24,G24-Model_Assumptions!$B$3)</f>
        <v>-347649.8</v>
      </c>
      <c r="I24" s="8">
        <f>1/(1+Model_Assumptions!$B$8/12)^A24</f>
        <v>0.932677753908899</v>
      </c>
      <c r="J24" s="17">
        <f t="shared" si="0"/>
        <v>2191.97925723669</v>
      </c>
    </row>
    <row r="25" ht="15" customHeight="1">
      <c r="A25" s="7">
        <v>8</v>
      </c>
      <c r="B25" s="7" t="s">
        <v>85</v>
      </c>
      <c r="C25" s="18">
        <v>0.62</v>
      </c>
      <c r="D25" s="16">
        <v>139098.2</v>
      </c>
      <c r="E25" s="16">
        <v>127970.34</v>
      </c>
      <c r="F25" s="16">
        <v>28000</v>
      </c>
      <c r="G25" s="16">
        <v>99970.34</v>
      </c>
      <c r="H25" s="16">
        <f>IF(B25=B24,H24+G25,G25-Model_Assumptions!$B$3)</f>
        <v>-250029.66</v>
      </c>
      <c r="I25" s="7">
        <f>1/(1+Model_Assumptions!$B$8/12)^A25</f>
        <v>0.932677753908899</v>
      </c>
      <c r="J25" s="16">
        <f t="shared" si="0"/>
        <v>93240.1121687089</v>
      </c>
    </row>
    <row r="26" ht="15" customHeight="1">
      <c r="A26" s="8">
        <v>8</v>
      </c>
      <c r="B26" s="8" t="s">
        <v>87</v>
      </c>
      <c r="C26" s="19">
        <v>0.82</v>
      </c>
      <c r="D26" s="17">
        <v>266754.44</v>
      </c>
      <c r="E26" s="17">
        <v>258751.81</v>
      </c>
      <c r="F26" s="17">
        <v>25760</v>
      </c>
      <c r="G26" s="17">
        <v>232991.81</v>
      </c>
      <c r="H26" s="17">
        <f>IF(B26=B25,H25+G26,G26-Model_Assumptions!$B$3)</f>
        <v>-117008.19</v>
      </c>
      <c r="I26" s="8">
        <f>1/(1+Model_Assumptions!$B$8/12)^A26</f>
        <v>0.932677753908899</v>
      </c>
      <c r="J26" s="17">
        <f t="shared" si="0"/>
        <v>217306.278029969</v>
      </c>
    </row>
    <row r="27" ht="15" customHeight="1">
      <c r="A27" s="7">
        <v>9</v>
      </c>
      <c r="B27" s="7" t="s">
        <v>83</v>
      </c>
      <c r="C27" s="18">
        <v>0.35</v>
      </c>
      <c r="D27" s="16">
        <v>43597.55</v>
      </c>
      <c r="E27" s="16">
        <v>34878.04</v>
      </c>
      <c r="F27" s="16">
        <v>32200</v>
      </c>
      <c r="G27" s="16">
        <v>2678.04</v>
      </c>
      <c r="H27" s="16">
        <f>IF(B27=B26,H26+G27,G27-Model_Assumptions!$B$3)</f>
        <v>-347321.96</v>
      </c>
      <c r="I27" s="7">
        <f>1/(1+Model_Assumptions!$B$8/12)^A27</f>
        <v>0.924587612301263</v>
      </c>
      <c r="J27" s="16">
        <f t="shared" si="0"/>
        <v>2476.08260924727</v>
      </c>
    </row>
    <row r="28" ht="15" customHeight="1">
      <c r="A28" s="8">
        <v>9</v>
      </c>
      <c r="B28" s="8" t="s">
        <v>85</v>
      </c>
      <c r="C28" s="19">
        <v>0.62</v>
      </c>
      <c r="D28" s="17">
        <v>140418.07</v>
      </c>
      <c r="E28" s="17">
        <v>129184.62</v>
      </c>
      <c r="F28" s="17">
        <v>28000</v>
      </c>
      <c r="G28" s="17">
        <v>101184.62</v>
      </c>
      <c r="H28" s="17">
        <f>IF(B28=B27,H27+G28,G28-Model_Assumptions!$B$3)</f>
        <v>-248815.38</v>
      </c>
      <c r="I28" s="8">
        <f>1/(1+Model_Assumptions!$B$8/12)^A28</f>
        <v>0.924587612301263</v>
      </c>
      <c r="J28" s="17">
        <f t="shared" si="0"/>
        <v>93554.0462074106</v>
      </c>
    </row>
    <row r="29" ht="15" customHeight="1">
      <c r="A29" s="7">
        <v>9</v>
      </c>
      <c r="B29" s="7" t="s">
        <v>87</v>
      </c>
      <c r="C29" s="18">
        <v>0.82</v>
      </c>
      <c r="D29" s="16">
        <v>269285.62</v>
      </c>
      <c r="E29" s="16">
        <v>261207.05</v>
      </c>
      <c r="F29" s="16">
        <v>25760</v>
      </c>
      <c r="G29" s="16">
        <v>235447.05</v>
      </c>
      <c r="H29" s="16">
        <f>IF(B29=B28,H28+G29,G29-Model_Assumptions!$B$3)</f>
        <v>-114552.95</v>
      </c>
      <c r="I29" s="7">
        <f>1/(1+Model_Assumptions!$B$8/12)^A29</f>
        <v>0.924587612301263</v>
      </c>
      <c r="J29" s="16">
        <f t="shared" si="0"/>
        <v>217691.425782876</v>
      </c>
    </row>
    <row r="30" ht="15" customHeight="1">
      <c r="A30" s="8">
        <v>10</v>
      </c>
      <c r="B30" s="8" t="s">
        <v>83</v>
      </c>
      <c r="C30" s="19">
        <v>0.35</v>
      </c>
      <c r="D30" s="17">
        <v>44011.23</v>
      </c>
      <c r="E30" s="17">
        <v>35208.99</v>
      </c>
      <c r="F30" s="17">
        <v>32200</v>
      </c>
      <c r="G30" s="17">
        <v>3008.99</v>
      </c>
      <c r="H30" s="17">
        <f>IF(B30=B29,H29+G30,G30-Model_Assumptions!$B$3)</f>
        <v>-346991.01</v>
      </c>
      <c r="I30" s="8">
        <f>1/(1+Model_Assumptions!$B$8/12)^A30</f>
        <v>0.916567645403978</v>
      </c>
      <c r="J30" s="17">
        <f t="shared" si="0"/>
        <v>2757.94287934412</v>
      </c>
    </row>
    <row r="31" ht="15" customHeight="1">
      <c r="A31" s="7">
        <v>10</v>
      </c>
      <c r="B31" s="7" t="s">
        <v>85</v>
      </c>
      <c r="C31" s="18">
        <v>0.62</v>
      </c>
      <c r="D31" s="16">
        <v>141750.47</v>
      </c>
      <c r="E31" s="16">
        <v>130410.43</v>
      </c>
      <c r="F31" s="16">
        <v>28000</v>
      </c>
      <c r="G31" s="16">
        <v>102410.43</v>
      </c>
      <c r="H31" s="16">
        <f>IF(B31=B30,H30+G31,G31-Model_Assumptions!$B$3)</f>
        <v>-247589.57</v>
      </c>
      <c r="I31" s="7">
        <f>1/(1+Model_Assumptions!$B$8/12)^A31</f>
        <v>0.916567645403978</v>
      </c>
      <c r="J31" s="16">
        <f t="shared" si="0"/>
        <v>93866.0866899089</v>
      </c>
    </row>
    <row r="32" ht="15" customHeight="1">
      <c r="A32" s="8">
        <v>10</v>
      </c>
      <c r="B32" s="8" t="s">
        <v>87</v>
      </c>
      <c r="C32" s="19">
        <v>0.82</v>
      </c>
      <c r="D32" s="17">
        <v>271840.82</v>
      </c>
      <c r="E32" s="17">
        <v>263685.59</v>
      </c>
      <c r="F32" s="17">
        <v>25760</v>
      </c>
      <c r="G32" s="17">
        <v>237925.59</v>
      </c>
      <c r="H32" s="17">
        <f>IF(B32=B31,H31+G32,G32-Model_Assumptions!$B$3)</f>
        <v>-112074.41</v>
      </c>
      <c r="I32" s="8">
        <f>1/(1+Model_Assumptions!$B$8/12)^A32</f>
        <v>0.916567645403978</v>
      </c>
      <c r="J32" s="17">
        <f t="shared" si="0"/>
        <v>218074.897807652</v>
      </c>
    </row>
    <row r="33" ht="15" customHeight="1">
      <c r="A33" s="7">
        <v>11</v>
      </c>
      <c r="B33" s="7" t="s">
        <v>83</v>
      </c>
      <c r="C33" s="18">
        <v>0.35</v>
      </c>
      <c r="D33" s="16">
        <v>44428.85</v>
      </c>
      <c r="E33" s="16">
        <v>35543.08</v>
      </c>
      <c r="F33" s="16">
        <v>32200</v>
      </c>
      <c r="G33" s="16">
        <v>3343.08</v>
      </c>
      <c r="H33" s="16">
        <f>IF(B33=B32,H32+G33,G33-Model_Assumptions!$B$3)</f>
        <v>-346656.92</v>
      </c>
      <c r="I33" s="7">
        <f>1/(1+Model_Assumptions!$B$8/12)^A33</f>
        <v>0.908617244514477</v>
      </c>
      <c r="J33" s="16">
        <f t="shared" si="0"/>
        <v>3037.58013779146</v>
      </c>
    </row>
    <row r="34" ht="15" customHeight="1">
      <c r="A34" s="8">
        <v>11</v>
      </c>
      <c r="B34" s="8" t="s">
        <v>85</v>
      </c>
      <c r="C34" s="19">
        <v>0.62</v>
      </c>
      <c r="D34" s="17">
        <v>143095.51</v>
      </c>
      <c r="E34" s="17">
        <v>131647.87</v>
      </c>
      <c r="F34" s="17">
        <v>28000</v>
      </c>
      <c r="G34" s="17">
        <v>103647.87</v>
      </c>
      <c r="H34" s="17">
        <f>IF(B34=B33,H33+G34,G34-Model_Assumptions!$B$3)</f>
        <v>-246352.13</v>
      </c>
      <c r="I34" s="8">
        <f>1/(1+Model_Assumptions!$B$8/12)^A34</f>
        <v>0.908617244514477</v>
      </c>
      <c r="J34" s="17">
        <f t="shared" si="0"/>
        <v>94176.2420391947</v>
      </c>
    </row>
    <row r="35" ht="15" customHeight="1">
      <c r="A35" s="7">
        <v>11</v>
      </c>
      <c r="B35" s="7" t="s">
        <v>87</v>
      </c>
      <c r="C35" s="18">
        <v>0.82</v>
      </c>
      <c r="D35" s="16">
        <v>274420.26</v>
      </c>
      <c r="E35" s="16">
        <v>266187.65</v>
      </c>
      <c r="F35" s="16">
        <v>25760</v>
      </c>
      <c r="G35" s="16">
        <v>240427.65</v>
      </c>
      <c r="H35" s="16">
        <f>IF(B35=B34,H34+G35,G35-Model_Assumptions!$B$3)</f>
        <v>-109572.35</v>
      </c>
      <c r="I35" s="7">
        <f>1/(1+Model_Assumptions!$B$8/12)^A35</f>
        <v>0.908617244514477</v>
      </c>
      <c r="J35" s="16">
        <f t="shared" si="0"/>
        <v>218456.708848091</v>
      </c>
    </row>
    <row r="36" ht="15" customHeight="1">
      <c r="A36" s="8">
        <v>12</v>
      </c>
      <c r="B36" s="8" t="s">
        <v>83</v>
      </c>
      <c r="C36" s="19">
        <v>0.35</v>
      </c>
      <c r="D36" s="17">
        <v>44850.42</v>
      </c>
      <c r="E36" s="17">
        <v>35880.34</v>
      </c>
      <c r="F36" s="17">
        <v>32200</v>
      </c>
      <c r="G36" s="17">
        <v>3680.34</v>
      </c>
      <c r="H36" s="17">
        <f>IF(B36=B35,H35+G36,G36-Model_Assumptions!$B$3)</f>
        <v>-346319.66</v>
      </c>
      <c r="I36" s="8">
        <f>1/(1+Model_Assumptions!$B$8/12)^A36</f>
        <v>0.900735806210138</v>
      </c>
      <c r="J36" s="17">
        <f t="shared" si="0"/>
        <v>3315.01401702742</v>
      </c>
    </row>
    <row r="37" ht="15" customHeight="1">
      <c r="A37" s="7">
        <v>12</v>
      </c>
      <c r="B37" s="7" t="s">
        <v>85</v>
      </c>
      <c r="C37" s="18">
        <v>0.62</v>
      </c>
      <c r="D37" s="16">
        <v>144453.31</v>
      </c>
      <c r="E37" s="16">
        <v>132897.05</v>
      </c>
      <c r="F37" s="16">
        <v>28000</v>
      </c>
      <c r="G37" s="16">
        <v>104897.05</v>
      </c>
      <c r="H37" s="16">
        <f>IF(B37=B36,H36+G37,G37-Model_Assumptions!$B$3)</f>
        <v>-245102.95</v>
      </c>
      <c r="I37" s="7">
        <f>1/(1+Model_Assumptions!$B$8/12)^A37</f>
        <v>0.900735806210138</v>
      </c>
      <c r="J37" s="16">
        <f t="shared" si="0"/>
        <v>94484.5289008152</v>
      </c>
    </row>
    <row r="38" ht="15" customHeight="1">
      <c r="A38" s="8">
        <v>12</v>
      </c>
      <c r="B38" s="8" t="s">
        <v>87</v>
      </c>
      <c r="C38" s="19">
        <v>0.82</v>
      </c>
      <c r="D38" s="17">
        <v>277024.17</v>
      </c>
      <c r="E38" s="17">
        <v>268713.45</v>
      </c>
      <c r="F38" s="17">
        <v>25760</v>
      </c>
      <c r="G38" s="17">
        <v>242953.45</v>
      </c>
      <c r="H38" s="17">
        <f>IF(B38=B37,H37+G38,G38-Model_Assumptions!$B$3)</f>
        <v>-107046.55</v>
      </c>
      <c r="I38" s="8">
        <f>1/(1+Model_Assumptions!$B$8/12)^A38</f>
        <v>0.900735806210138</v>
      </c>
      <c r="J38" s="17">
        <f t="shared" si="0"/>
        <v>218836.871657284</v>
      </c>
    </row>
    <row r="39" ht="15" customHeight="1">
      <c r="A39" s="7">
        <v>13</v>
      </c>
      <c r="B39" s="7" t="s">
        <v>83</v>
      </c>
      <c r="C39" s="18">
        <v>0.35</v>
      </c>
      <c r="D39" s="16">
        <v>45276</v>
      </c>
      <c r="E39" s="16">
        <v>36220.8</v>
      </c>
      <c r="F39" s="16">
        <v>32200</v>
      </c>
      <c r="G39" s="16">
        <v>4020.8</v>
      </c>
      <c r="H39" s="16">
        <f>IF(B39=B38,H38+G39,G39-Model_Assumptions!$B$3)</f>
        <v>-345979.2</v>
      </c>
      <c r="I39" s="7">
        <f>1/(1+Model_Assumptions!$B$8/12)^A39</f>
        <v>0.892922732302491</v>
      </c>
      <c r="J39" s="16">
        <f t="shared" si="0"/>
        <v>3590.26372204186</v>
      </c>
    </row>
    <row r="40" ht="15" customHeight="1">
      <c r="A40" s="8">
        <v>13</v>
      </c>
      <c r="B40" s="8" t="s">
        <v>85</v>
      </c>
      <c r="C40" s="19">
        <v>0.62</v>
      </c>
      <c r="D40" s="17">
        <v>145824</v>
      </c>
      <c r="E40" s="17">
        <v>134158.08</v>
      </c>
      <c r="F40" s="17">
        <v>28000</v>
      </c>
      <c r="G40" s="17">
        <v>106158.08</v>
      </c>
      <c r="H40" s="17">
        <f>IF(B40=B39,H39+G40,G40-Model_Assumptions!$B$3)</f>
        <v>-243841.92</v>
      </c>
      <c r="I40" s="8">
        <f>1/(1+Model_Assumptions!$B$8/12)^A40</f>
        <v>0.892922732302491</v>
      </c>
      <c r="J40" s="17">
        <f t="shared" si="0"/>
        <v>94790.9628495864</v>
      </c>
    </row>
    <row r="41" ht="15" customHeight="1">
      <c r="A41" s="7">
        <v>13</v>
      </c>
      <c r="B41" s="7" t="s">
        <v>87</v>
      </c>
      <c r="C41" s="18">
        <v>0.82</v>
      </c>
      <c r="D41" s="16">
        <v>279652.8</v>
      </c>
      <c r="E41" s="16">
        <v>271263.22</v>
      </c>
      <c r="F41" s="16">
        <v>25760</v>
      </c>
      <c r="G41" s="16">
        <v>245503.22</v>
      </c>
      <c r="H41" s="16">
        <f>IF(B41=B40,H40+G41,G41-Model_Assumptions!$B$3)</f>
        <v>-104496.78</v>
      </c>
      <c r="I41" s="7">
        <f>1/(1+Model_Assumptions!$B$8/12)^A41</f>
        <v>0.892922732302491</v>
      </c>
      <c r="J41" s="16">
        <f t="shared" si="0"/>
        <v>219215.40599146</v>
      </c>
    </row>
    <row r="42" ht="15" customHeight="1">
      <c r="A42" s="8">
        <v>14</v>
      </c>
      <c r="B42" s="8" t="s">
        <v>83</v>
      </c>
      <c r="C42" s="19">
        <v>0.35</v>
      </c>
      <c r="D42" s="17">
        <v>45705.61</v>
      </c>
      <c r="E42" s="17">
        <v>36564.49</v>
      </c>
      <c r="F42" s="17">
        <v>32200</v>
      </c>
      <c r="G42" s="17">
        <v>4364.49</v>
      </c>
      <c r="H42" s="17">
        <f>IF(B42=B41,H41+G42,G42-Model_Assumptions!$B$3)</f>
        <v>-345635.51</v>
      </c>
      <c r="I42" s="8">
        <f>1/(1+Model_Assumptions!$B$8/12)^A42</f>
        <v>0.885177429791813</v>
      </c>
      <c r="J42" s="17">
        <f t="shared" si="0"/>
        <v>3863.34804055207</v>
      </c>
    </row>
    <row r="43" ht="15" customHeight="1">
      <c r="A43" s="7">
        <v>14</v>
      </c>
      <c r="B43" s="7" t="s">
        <v>85</v>
      </c>
      <c r="C43" s="18">
        <v>0.62</v>
      </c>
      <c r="D43" s="16">
        <v>147207.69</v>
      </c>
      <c r="E43" s="16">
        <v>135431.08</v>
      </c>
      <c r="F43" s="16">
        <v>28000</v>
      </c>
      <c r="G43" s="16">
        <v>107431.08</v>
      </c>
      <c r="H43" s="16">
        <f>IF(B43=B42,H42+G43,G43-Model_Assumptions!$B$3)</f>
        <v>-242568.92</v>
      </c>
      <c r="I43" s="7">
        <f>1/(1+Model_Assumptions!$B$8/12)^A43</f>
        <v>0.885177429791813</v>
      </c>
      <c r="J43" s="16">
        <f t="shared" si="0"/>
        <v>95095.5672741586</v>
      </c>
    </row>
    <row r="44" ht="15" customHeight="1">
      <c r="A44" s="8">
        <v>14</v>
      </c>
      <c r="B44" s="8" t="s">
        <v>87</v>
      </c>
      <c r="C44" s="19">
        <v>0.82</v>
      </c>
      <c r="D44" s="17">
        <v>282306.37</v>
      </c>
      <c r="E44" s="17">
        <v>273837.18</v>
      </c>
      <c r="F44" s="17">
        <v>25760</v>
      </c>
      <c r="G44" s="17">
        <v>248077.18</v>
      </c>
      <c r="H44" s="17">
        <f>IF(B44=B43,H43+G44,G44-Model_Assumptions!$B$3)</f>
        <v>-101922.82</v>
      </c>
      <c r="I44" s="8">
        <f>1/(1+Model_Assumptions!$B$8/12)^A44</f>
        <v>0.885177429791813</v>
      </c>
      <c r="J44" s="17">
        <f t="shared" si="0"/>
        <v>219592.320582401</v>
      </c>
    </row>
    <row r="45" ht="15" customHeight="1">
      <c r="A45" s="7">
        <v>15</v>
      </c>
      <c r="B45" s="7" t="s">
        <v>83</v>
      </c>
      <c r="C45" s="18">
        <v>0.35</v>
      </c>
      <c r="D45" s="16">
        <v>46139.31</v>
      </c>
      <c r="E45" s="16">
        <v>36911.44</v>
      </c>
      <c r="F45" s="16">
        <v>32200</v>
      </c>
      <c r="G45" s="16">
        <v>4711.44</v>
      </c>
      <c r="H45" s="16">
        <f>IF(B45=B44,H44+G45,G45-Model_Assumptions!$B$3)</f>
        <v>-345288.56</v>
      </c>
      <c r="I45" s="7">
        <f>1/(1+Model_Assumptions!$B$8/12)^A45</f>
        <v>0.877499310822119</v>
      </c>
      <c r="J45" s="16">
        <f t="shared" si="0"/>
        <v>4134.28535297976</v>
      </c>
    </row>
    <row r="46" ht="15" customHeight="1">
      <c r="A46" s="8">
        <v>15</v>
      </c>
      <c r="B46" s="8" t="s">
        <v>85</v>
      </c>
      <c r="C46" s="19">
        <v>0.62</v>
      </c>
      <c r="D46" s="17">
        <v>148604.52</v>
      </c>
      <c r="E46" s="17">
        <v>136716.16</v>
      </c>
      <c r="F46" s="17">
        <v>28000</v>
      </c>
      <c r="G46" s="17">
        <v>108716.16</v>
      </c>
      <c r="H46" s="17">
        <f>IF(B46=B45,H45+G46,G46-Model_Assumptions!$B$3)</f>
        <v>-241283.84</v>
      </c>
      <c r="I46" s="8">
        <f>1/(1+Model_Assumptions!$B$8/12)^A46</f>
        <v>0.877499310822119</v>
      </c>
      <c r="J46" s="17">
        <f t="shared" si="0"/>
        <v>95398.3554752272</v>
      </c>
    </row>
    <row r="47" ht="15" customHeight="1">
      <c r="A47" s="7">
        <v>15</v>
      </c>
      <c r="B47" s="7" t="s">
        <v>87</v>
      </c>
      <c r="C47" s="18">
        <v>0.82</v>
      </c>
      <c r="D47" s="16">
        <v>284985.11</v>
      </c>
      <c r="E47" s="16">
        <v>276435.56</v>
      </c>
      <c r="F47" s="16">
        <v>25760</v>
      </c>
      <c r="G47" s="16">
        <v>250675.56</v>
      </c>
      <c r="H47" s="16">
        <f>IF(B47=B46,H46+G47,G47-Model_Assumptions!$B$3)</f>
        <v>-99324.44</v>
      </c>
      <c r="I47" s="7">
        <f>1/(1+Model_Assumptions!$B$8/12)^A47</f>
        <v>0.877499310822119</v>
      </c>
      <c r="J47" s="16">
        <f t="shared" si="0"/>
        <v>219967.631139949</v>
      </c>
    </row>
    <row r="48" ht="15" customHeight="1">
      <c r="A48" s="8">
        <v>16</v>
      </c>
      <c r="B48" s="8" t="s">
        <v>83</v>
      </c>
      <c r="C48" s="19">
        <v>0.35</v>
      </c>
      <c r="D48" s="17">
        <v>46577.11</v>
      </c>
      <c r="E48" s="17">
        <v>37261.69</v>
      </c>
      <c r="F48" s="17">
        <v>32200</v>
      </c>
      <c r="G48" s="17">
        <v>5061.69</v>
      </c>
      <c r="H48" s="17">
        <f>IF(B48=B47,H47+G48,G48-Model_Assumptions!$B$3)</f>
        <v>-344938.31</v>
      </c>
      <c r="I48" s="8">
        <f>1/(1+Model_Assumptions!$B$8/12)^A48</f>
        <v>0.869887792636549</v>
      </c>
      <c r="J48" s="17">
        <f t="shared" si="0"/>
        <v>4403.10234111049</v>
      </c>
    </row>
    <row r="49" ht="15" customHeight="1">
      <c r="A49" s="7">
        <v>16</v>
      </c>
      <c r="B49" s="7" t="s">
        <v>85</v>
      </c>
      <c r="C49" s="18">
        <v>0.62</v>
      </c>
      <c r="D49" s="16">
        <v>150014.59</v>
      </c>
      <c r="E49" s="16">
        <v>138013.43</v>
      </c>
      <c r="F49" s="16">
        <v>28000</v>
      </c>
      <c r="G49" s="16">
        <v>110013.43</v>
      </c>
      <c r="H49" s="16">
        <f>IF(B49=B48,H48+G49,G49-Model_Assumptions!$B$3)</f>
        <v>-239986.57</v>
      </c>
      <c r="I49" s="7">
        <f>1/(1+Model_Assumptions!$B$8/12)^A49</f>
        <v>0.869887792636549</v>
      </c>
      <c r="J49" s="16">
        <f t="shared" si="0"/>
        <v>95699.3397830755</v>
      </c>
    </row>
    <row r="50" ht="15" customHeight="1">
      <c r="A50" s="8">
        <v>16</v>
      </c>
      <c r="B50" s="8" t="s">
        <v>87</v>
      </c>
      <c r="C50" s="19">
        <v>0.82</v>
      </c>
      <c r="D50" s="17">
        <v>287689.28</v>
      </c>
      <c r="E50" s="17">
        <v>279058.6</v>
      </c>
      <c r="F50" s="17">
        <v>25760</v>
      </c>
      <c r="G50" s="17">
        <v>253298.6</v>
      </c>
      <c r="H50" s="17">
        <f>IF(B50=B49,H49+G50,G50-Model_Assumptions!$B$3)</f>
        <v>-96701.4</v>
      </c>
      <c r="I50" s="8">
        <f>1/(1+Model_Assumptions!$B$8/12)^A50</f>
        <v>0.869887792636549</v>
      </c>
      <c r="J50" s="17">
        <f t="shared" si="0"/>
        <v>220341.360031928</v>
      </c>
    </row>
    <row r="51" ht="15" customHeight="1">
      <c r="A51" s="7">
        <v>17</v>
      </c>
      <c r="B51" s="7" t="s">
        <v>83</v>
      </c>
      <c r="C51" s="18">
        <v>0.35</v>
      </c>
      <c r="D51" s="16">
        <v>47019.07</v>
      </c>
      <c r="E51" s="16">
        <v>37615.26</v>
      </c>
      <c r="F51" s="16">
        <v>32200</v>
      </c>
      <c r="G51" s="16">
        <v>5415.26</v>
      </c>
      <c r="H51" s="16">
        <f>IF(B51=B50,H50+G51,G51-Model_Assumptions!$B$3)</f>
        <v>-344584.74</v>
      </c>
      <c r="I51" s="7">
        <f>1/(1+Model_Assumptions!$B$8/12)^A51</f>
        <v>0.862342297533134</v>
      </c>
      <c r="J51" s="16">
        <f t="shared" si="0"/>
        <v>4669.80775013928</v>
      </c>
    </row>
    <row r="52" ht="15" customHeight="1">
      <c r="A52" s="8">
        <v>17</v>
      </c>
      <c r="B52" s="8" t="s">
        <v>85</v>
      </c>
      <c r="C52" s="19">
        <v>0.62</v>
      </c>
      <c r="D52" s="17">
        <v>151438.05</v>
      </c>
      <c r="E52" s="17">
        <v>139323.01</v>
      </c>
      <c r="F52" s="17">
        <v>28000</v>
      </c>
      <c r="G52" s="17">
        <v>111323.01</v>
      </c>
      <c r="H52" s="17">
        <f>IF(B52=B51,H51+G52,G52-Model_Assumptions!$B$3)</f>
        <v>-238676.99</v>
      </c>
      <c r="I52" s="8">
        <f>1/(1+Model_Assumptions!$B$8/12)^A52</f>
        <v>0.862342297533134</v>
      </c>
      <c r="J52" s="17">
        <f t="shared" si="0"/>
        <v>95998.540211704</v>
      </c>
    </row>
    <row r="53" ht="15" customHeight="1">
      <c r="A53" s="7">
        <v>17</v>
      </c>
      <c r="B53" s="7" t="s">
        <v>87</v>
      </c>
      <c r="C53" s="18">
        <v>0.82</v>
      </c>
      <c r="D53" s="16">
        <v>290419.1</v>
      </c>
      <c r="E53" s="16">
        <v>281706.53</v>
      </c>
      <c r="F53" s="16">
        <v>25760</v>
      </c>
      <c r="G53" s="16">
        <v>255946.53</v>
      </c>
      <c r="H53" s="16">
        <f>IF(B53=B52,H52+G53,G53-Model_Assumptions!$B$3)</f>
        <v>-94053.47</v>
      </c>
      <c r="I53" s="7">
        <f>1/(1+Model_Assumptions!$B$8/12)^A53</f>
        <v>0.862342297533134</v>
      </c>
      <c r="J53" s="16">
        <f t="shared" si="0"/>
        <v>220713.518725833</v>
      </c>
    </row>
    <row r="54" ht="15" customHeight="1">
      <c r="A54" s="8">
        <v>18</v>
      </c>
      <c r="B54" s="8" t="s">
        <v>83</v>
      </c>
      <c r="C54" s="19">
        <v>0.35</v>
      </c>
      <c r="D54" s="17">
        <v>47465.23</v>
      </c>
      <c r="E54" s="17">
        <v>37972.18</v>
      </c>
      <c r="F54" s="17">
        <v>32200</v>
      </c>
      <c r="G54" s="17">
        <v>5772.18</v>
      </c>
      <c r="H54" s="17">
        <f>IF(B54=B53,H53+G54,G54-Model_Assumptions!$B$3)</f>
        <v>-344227.82</v>
      </c>
      <c r="I54" s="8">
        <f>1/(1+Model_Assumptions!$B$8/12)^A54</f>
        <v>0.854862252820951</v>
      </c>
      <c r="J54" s="17">
        <f t="shared" si="0"/>
        <v>4934.41879848804</v>
      </c>
    </row>
    <row r="55" ht="15" customHeight="1">
      <c r="A55" s="7">
        <v>18</v>
      </c>
      <c r="B55" s="7" t="s">
        <v>85</v>
      </c>
      <c r="C55" s="18">
        <v>0.62</v>
      </c>
      <c r="D55" s="16">
        <v>152875.02</v>
      </c>
      <c r="E55" s="16">
        <v>140645.01</v>
      </c>
      <c r="F55" s="16">
        <v>28000</v>
      </c>
      <c r="G55" s="16">
        <v>112645.01</v>
      </c>
      <c r="H55" s="16">
        <f>IF(B55=B54,H54+G55,G55-Model_Assumptions!$B$3)</f>
        <v>-237354.99</v>
      </c>
      <c r="I55" s="7">
        <f>1/(1+Model_Assumptions!$B$8/12)^A55</f>
        <v>0.854862252820951</v>
      </c>
      <c r="J55" s="16">
        <f t="shared" si="0"/>
        <v>96295.9670176385</v>
      </c>
    </row>
    <row r="56" ht="15" customHeight="1">
      <c r="A56" s="8">
        <v>18</v>
      </c>
      <c r="B56" s="8" t="s">
        <v>87</v>
      </c>
      <c r="C56" s="19">
        <v>0.82</v>
      </c>
      <c r="D56" s="17">
        <v>293174.83</v>
      </c>
      <c r="E56" s="17">
        <v>284379.58</v>
      </c>
      <c r="F56" s="17">
        <v>25760</v>
      </c>
      <c r="G56" s="17">
        <v>258619.58</v>
      </c>
      <c r="H56" s="17">
        <f>IF(B56=B55,H55+G56,G56-Model_Assumptions!$B$3)</f>
        <v>-91380.42</v>
      </c>
      <c r="I56" s="8">
        <f>1/(1+Model_Assumptions!$B$8/12)^A56</f>
        <v>0.854862252820951</v>
      </c>
      <c r="J56" s="17">
        <f t="shared" si="0"/>
        <v>221084.116782408</v>
      </c>
    </row>
    <row r="57" ht="15" customHeight="1">
      <c r="A57" s="7">
        <v>19</v>
      </c>
      <c r="B57" s="7" t="s">
        <v>83</v>
      </c>
      <c r="C57" s="18">
        <v>0.35</v>
      </c>
      <c r="D57" s="16">
        <v>47915.61</v>
      </c>
      <c r="E57" s="16">
        <v>38332.49</v>
      </c>
      <c r="F57" s="16">
        <v>32200</v>
      </c>
      <c r="G57" s="16">
        <v>6132.49</v>
      </c>
      <c r="H57" s="16">
        <f>IF(B57=B56,H56+G57,G57-Model_Assumptions!$B$3)</f>
        <v>-343867.51</v>
      </c>
      <c r="I57" s="7">
        <f>1/(1+Model_Assumptions!$B$8/12)^A57</f>
        <v>0.847447090776655</v>
      </c>
      <c r="J57" s="16">
        <f t="shared" si="0"/>
        <v>5196.96080971693</v>
      </c>
    </row>
    <row r="58" ht="15" customHeight="1">
      <c r="A58" s="8">
        <v>19</v>
      </c>
      <c r="B58" s="8" t="s">
        <v>85</v>
      </c>
      <c r="C58" s="19">
        <v>0.62</v>
      </c>
      <c r="D58" s="17">
        <v>154325.62</v>
      </c>
      <c r="E58" s="17">
        <v>141979.57</v>
      </c>
      <c r="F58" s="17">
        <v>28000</v>
      </c>
      <c r="G58" s="17">
        <v>113979.57</v>
      </c>
      <c r="H58" s="17">
        <f>IF(B58=B57,H57+G58,G58-Model_Assumptions!$B$3)</f>
        <v>-236020.43</v>
      </c>
      <c r="I58" s="8">
        <f>1/(1+Model_Assumptions!$B$8/12)^A58</f>
        <v>0.847447090776655</v>
      </c>
      <c r="J58" s="17">
        <f t="shared" si="0"/>
        <v>96591.6550044741</v>
      </c>
    </row>
    <row r="59" ht="15" customHeight="1">
      <c r="A59" s="7">
        <v>19</v>
      </c>
      <c r="B59" s="7" t="s">
        <v>87</v>
      </c>
      <c r="C59" s="18">
        <v>0.82</v>
      </c>
      <c r="D59" s="16">
        <v>295956.7</v>
      </c>
      <c r="E59" s="16">
        <v>287078</v>
      </c>
      <c r="F59" s="16">
        <v>25760</v>
      </c>
      <c r="G59" s="16">
        <v>261318</v>
      </c>
      <c r="H59" s="16">
        <f>IF(B59=B58,H58+G59,G59-Model_Assumptions!$B$3)</f>
        <v>-88682</v>
      </c>
      <c r="I59" s="7">
        <f>1/(1+Model_Assumptions!$B$8/12)^A59</f>
        <v>0.847447090776655</v>
      </c>
      <c r="J59" s="16">
        <f t="shared" si="0"/>
        <v>221453.178867574</v>
      </c>
    </row>
    <row r="60" ht="15" customHeight="1">
      <c r="A60" s="8">
        <v>20</v>
      </c>
      <c r="B60" s="8" t="s">
        <v>83</v>
      </c>
      <c r="C60" s="19">
        <v>0.35</v>
      </c>
      <c r="D60" s="17">
        <v>48370.28</v>
      </c>
      <c r="E60" s="17">
        <v>38696.22</v>
      </c>
      <c r="F60" s="17">
        <v>32200</v>
      </c>
      <c r="G60" s="17">
        <v>6496.22</v>
      </c>
      <c r="H60" s="17">
        <f>IF(B60=B59,H59+G60,G60-Model_Assumptions!$B$3)</f>
        <v>-343503.78</v>
      </c>
      <c r="I60" s="8">
        <f>1/(1+Model_Assumptions!$B$8/12)^A60</f>
        <v>0.840096248601393</v>
      </c>
      <c r="J60" s="17">
        <f t="shared" si="0"/>
        <v>5457.45005208934</v>
      </c>
    </row>
    <row r="61" ht="15" customHeight="1">
      <c r="A61" s="7">
        <v>20</v>
      </c>
      <c r="B61" s="7" t="s">
        <v>85</v>
      </c>
      <c r="C61" s="18">
        <v>0.62</v>
      </c>
      <c r="D61" s="16">
        <v>155789.98</v>
      </c>
      <c r="E61" s="16">
        <v>143326.78</v>
      </c>
      <c r="F61" s="16">
        <v>28000</v>
      </c>
      <c r="G61" s="16">
        <v>115326.78</v>
      </c>
      <c r="H61" s="16">
        <f>IF(B61=B60,H60+G61,G61-Model_Assumptions!$B$3)</f>
        <v>-234673.22</v>
      </c>
      <c r="I61" s="7">
        <f>1/(1+Model_Assumptions!$B$8/12)^A61</f>
        <v>0.840096248601393</v>
      </c>
      <c r="J61" s="16">
        <f t="shared" si="0"/>
        <v>96885.5952412781</v>
      </c>
    </row>
    <row r="62" ht="15" customHeight="1">
      <c r="A62" s="8">
        <v>20</v>
      </c>
      <c r="B62" s="8" t="s">
        <v>87</v>
      </c>
      <c r="C62" s="19">
        <v>0.82</v>
      </c>
      <c r="D62" s="17">
        <v>298764.98</v>
      </c>
      <c r="E62" s="17">
        <v>289802.03</v>
      </c>
      <c r="F62" s="17">
        <v>25760</v>
      </c>
      <c r="G62" s="17">
        <v>264042.03</v>
      </c>
      <c r="H62" s="17">
        <f>IF(B62=B61,H61+G62,G62-Model_Assumptions!$B$3)</f>
        <v>-85957.97</v>
      </c>
      <c r="I62" s="8">
        <f>1/(1+Model_Assumptions!$B$8/12)^A62</f>
        <v>0.840096248601393</v>
      </c>
      <c r="J62" s="17">
        <f t="shared" si="0"/>
        <v>221820.718876096</v>
      </c>
    </row>
    <row r="63" ht="15" customHeight="1">
      <c r="A63" s="7">
        <v>21</v>
      </c>
      <c r="B63" s="7" t="s">
        <v>83</v>
      </c>
      <c r="C63" s="18">
        <v>0.35</v>
      </c>
      <c r="D63" s="16">
        <v>48829.25</v>
      </c>
      <c r="E63" s="16">
        <v>39063.4</v>
      </c>
      <c r="F63" s="16">
        <v>32200</v>
      </c>
      <c r="G63" s="16">
        <v>6863.4</v>
      </c>
      <c r="H63" s="16">
        <f>IF(B63=B62,H62+G63,G63-Model_Assumptions!$B$3)</f>
        <v>-343136.6</v>
      </c>
      <c r="I63" s="7">
        <f>1/(1+Model_Assumptions!$B$8/12)^A63</f>
        <v>0.832809168378085</v>
      </c>
      <c r="J63" s="16">
        <f t="shared" si="0"/>
        <v>5715.90244624615</v>
      </c>
    </row>
    <row r="64" ht="15" customHeight="1">
      <c r="A64" s="8">
        <v>21</v>
      </c>
      <c r="B64" s="8" t="s">
        <v>85</v>
      </c>
      <c r="C64" s="19">
        <v>0.62</v>
      </c>
      <c r="D64" s="17">
        <v>157268.24</v>
      </c>
      <c r="E64" s="17">
        <v>144686.78</v>
      </c>
      <c r="F64" s="17">
        <v>28000</v>
      </c>
      <c r="G64" s="17">
        <v>116686.78</v>
      </c>
      <c r="H64" s="17">
        <f>IF(B64=B63,H63+G64,G64-Model_Assumptions!$B$3)</f>
        <v>-233313.22</v>
      </c>
      <c r="I64" s="8">
        <f>1/(1+Model_Assumptions!$B$8/12)^A64</f>
        <v>0.832809168378085</v>
      </c>
      <c r="J64" s="17">
        <f t="shared" si="0"/>
        <v>97177.8202125166</v>
      </c>
    </row>
    <row r="65" ht="15" customHeight="1">
      <c r="A65" s="7">
        <v>21</v>
      </c>
      <c r="B65" s="7" t="s">
        <v>87</v>
      </c>
      <c r="C65" s="18">
        <v>0.82</v>
      </c>
      <c r="D65" s="16">
        <v>301599.9</v>
      </c>
      <c r="E65" s="16">
        <v>292551.9</v>
      </c>
      <c r="F65" s="16">
        <v>25760</v>
      </c>
      <c r="G65" s="16">
        <v>266791.9</v>
      </c>
      <c r="H65" s="16">
        <f>IF(B65=B64,H64+G65,G65-Model_Assumptions!$B$3)</f>
        <v>-83208.1</v>
      </c>
      <c r="I65" s="7">
        <f>1/(1+Model_Assumptions!$B$8/12)^A65</f>
        <v>0.832809168378085</v>
      </c>
      <c r="J65" s="16">
        <f t="shared" si="0"/>
        <v>222186.740369009</v>
      </c>
    </row>
    <row r="66" ht="15" customHeight="1">
      <c r="A66" s="8">
        <v>22</v>
      </c>
      <c r="B66" s="8" t="s">
        <v>83</v>
      </c>
      <c r="C66" s="19">
        <v>0.35</v>
      </c>
      <c r="D66" s="17">
        <v>49292.58</v>
      </c>
      <c r="E66" s="17">
        <v>39434.07</v>
      </c>
      <c r="F66" s="17">
        <v>32200</v>
      </c>
      <c r="G66" s="17">
        <v>7234.07</v>
      </c>
      <c r="H66" s="17">
        <f>IF(B66=B65,H65+G66,G66-Model_Assumptions!$B$3)</f>
        <v>-342765.93</v>
      </c>
      <c r="I66" s="8">
        <f>1/(1+Model_Assumptions!$B$8/12)^A66</f>
        <v>0.82558529702908</v>
      </c>
      <c r="J66" s="17">
        <f t="shared" si="0"/>
        <v>5972.34182967916</v>
      </c>
    </row>
    <row r="67" ht="15" customHeight="1">
      <c r="A67" s="7">
        <v>22</v>
      </c>
      <c r="B67" s="7" t="s">
        <v>85</v>
      </c>
      <c r="C67" s="18">
        <v>0.62</v>
      </c>
      <c r="D67" s="16">
        <v>158760.52</v>
      </c>
      <c r="E67" s="16">
        <v>146059.68</v>
      </c>
      <c r="F67" s="16">
        <v>28000</v>
      </c>
      <c r="G67" s="16">
        <v>118059.68</v>
      </c>
      <c r="H67" s="16">
        <f>IF(B67=B66,H66+G67,G67-Model_Assumptions!$B$3)</f>
        <v>-231940.32</v>
      </c>
      <c r="I67" s="7">
        <f>1/(1+Model_Assumptions!$B$8/12)^A67</f>
        <v>0.82558529702908</v>
      </c>
      <c r="J67" s="16">
        <f t="shared" si="0"/>
        <v>97468.3359799581</v>
      </c>
    </row>
    <row r="68" ht="15" customHeight="1">
      <c r="A68" s="8">
        <v>22</v>
      </c>
      <c r="B68" s="8" t="s">
        <v>87</v>
      </c>
      <c r="C68" s="19">
        <v>0.82</v>
      </c>
      <c r="D68" s="17">
        <v>304461.71</v>
      </c>
      <c r="E68" s="17">
        <v>295327.86</v>
      </c>
      <c r="F68" s="17">
        <v>25760</v>
      </c>
      <c r="G68" s="17">
        <v>269567.86</v>
      </c>
      <c r="H68" s="17">
        <f>IF(B68=B67,H67+G68,G68-Model_Assumptions!$B$3)</f>
        <v>-80432.14</v>
      </c>
      <c r="I68" s="8">
        <f>1/(1+Model_Assumptions!$B$8/12)^A68</f>
        <v>0.82558529702908</v>
      </c>
      <c r="J68" s="17">
        <f t="shared" si="0"/>
        <v>222551.261767593</v>
      </c>
    </row>
    <row r="69" ht="15" customHeight="1">
      <c r="A69" s="7">
        <v>23</v>
      </c>
      <c r="B69" s="7" t="s">
        <v>83</v>
      </c>
      <c r="C69" s="18">
        <v>0.35</v>
      </c>
      <c r="D69" s="16">
        <v>49760.31</v>
      </c>
      <c r="E69" s="16">
        <v>39808.25</v>
      </c>
      <c r="F69" s="16">
        <v>32200</v>
      </c>
      <c r="G69" s="16">
        <v>7608.25</v>
      </c>
      <c r="H69" s="16">
        <f>IF(B69=B68,H68+G69,G69-Model_Assumptions!$B$3)</f>
        <v>-342391.75</v>
      </c>
      <c r="I69" s="7">
        <f>1/(1+Model_Assumptions!$B$8/12)^A69</f>
        <v>0.818424086274181</v>
      </c>
      <c r="J69" s="16">
        <f t="shared" si="0"/>
        <v>6226.77505439554</v>
      </c>
    </row>
    <row r="70" ht="15" customHeight="1">
      <c r="A70" s="8">
        <v>23</v>
      </c>
      <c r="B70" s="8" t="s">
        <v>85</v>
      </c>
      <c r="C70" s="19">
        <v>0.62</v>
      </c>
      <c r="D70" s="17">
        <v>160266.97</v>
      </c>
      <c r="E70" s="17">
        <v>147445.61</v>
      </c>
      <c r="F70" s="17">
        <v>28000</v>
      </c>
      <c r="G70" s="17">
        <v>119445.61</v>
      </c>
      <c r="H70" s="17">
        <f>IF(B70=B69,H69+G70,G70-Model_Assumptions!$B$3)</f>
        <v>-230554.39</v>
      </c>
      <c r="I70" s="8">
        <f>1/(1+Model_Assumptions!$B$8/12)^A70</f>
        <v>0.818424086274181</v>
      </c>
      <c r="J70" s="17">
        <f t="shared" si="0"/>
        <v>97757.1642237122</v>
      </c>
    </row>
    <row r="71" ht="15" customHeight="1">
      <c r="A71" s="7">
        <v>23</v>
      </c>
      <c r="B71" s="7" t="s">
        <v>87</v>
      </c>
      <c r="C71" s="18">
        <v>0.82</v>
      </c>
      <c r="D71" s="16">
        <v>307350.69</v>
      </c>
      <c r="E71" s="16">
        <v>298130.17</v>
      </c>
      <c r="F71" s="16">
        <v>25760</v>
      </c>
      <c r="G71" s="16">
        <v>272370.17</v>
      </c>
      <c r="H71" s="16">
        <f>IF(B71=B70,H70+G71,G71-Model_Assumptions!$B$3)</f>
        <v>-77629.83</v>
      </c>
      <c r="I71" s="7">
        <f>1/(1+Model_Assumptions!$B$8/12)^A71</f>
        <v>0.818424086274181</v>
      </c>
      <c r="J71" s="16">
        <f t="shared" si="0"/>
        <v>222914.307510593</v>
      </c>
    </row>
    <row r="72" ht="15" customHeight="1">
      <c r="A72" s="8">
        <v>24</v>
      </c>
      <c r="B72" s="8" t="s">
        <v>83</v>
      </c>
      <c r="C72" s="19">
        <v>0.35</v>
      </c>
      <c r="D72" s="17">
        <v>50232.47</v>
      </c>
      <c r="E72" s="17">
        <v>40185.98</v>
      </c>
      <c r="F72" s="17">
        <v>32200</v>
      </c>
      <c r="G72" s="17">
        <v>7985.98</v>
      </c>
      <c r="H72" s="17">
        <f>IF(B72=B71,H71+G72,G72-Model_Assumptions!$B$3)</f>
        <v>-342014.02</v>
      </c>
      <c r="I72" s="8">
        <f>1/(1+Model_Assumptions!$B$8/12)^A72</f>
        <v>0.811324992589027</v>
      </c>
      <c r="J72" s="17">
        <f t="shared" si="0"/>
        <v>6479.22516431612</v>
      </c>
    </row>
    <row r="73" ht="15" customHeight="1">
      <c r="A73" s="7">
        <v>24</v>
      </c>
      <c r="B73" s="7" t="s">
        <v>85</v>
      </c>
      <c r="C73" s="18">
        <v>0.62</v>
      </c>
      <c r="D73" s="16">
        <v>161787.71</v>
      </c>
      <c r="E73" s="16">
        <v>148844.69</v>
      </c>
      <c r="F73" s="16">
        <v>28000</v>
      </c>
      <c r="G73" s="16">
        <v>120844.69</v>
      </c>
      <c r="H73" s="16">
        <f>IF(B73=B72,H72+G73,G73-Model_Assumptions!$B$3)</f>
        <v>-229155.31</v>
      </c>
      <c r="I73" s="7">
        <f>1/(1+Model_Assumptions!$B$8/12)^A73</f>
        <v>0.811324992589027</v>
      </c>
      <c r="J73" s="16">
        <f t="shared" si="0"/>
        <v>98044.3172186733</v>
      </c>
    </row>
    <row r="74" ht="15" customHeight="1">
      <c r="A74" s="8">
        <v>24</v>
      </c>
      <c r="B74" s="8" t="s">
        <v>87</v>
      </c>
      <c r="C74" s="19">
        <v>0.82</v>
      </c>
      <c r="D74" s="17">
        <v>310267.08</v>
      </c>
      <c r="E74" s="17">
        <v>300959.06</v>
      </c>
      <c r="F74" s="17">
        <v>25760</v>
      </c>
      <c r="G74" s="17">
        <v>275199.06</v>
      </c>
      <c r="H74" s="17">
        <f>IF(B74=B73,H73+G74,G74-Model_Assumptions!$B$3)</f>
        <v>-74800.94</v>
      </c>
      <c r="I74" s="8">
        <f>1/(1+Model_Assumptions!$B$8/12)^A74</f>
        <v>0.811324992589027</v>
      </c>
      <c r="J74" s="17">
        <f t="shared" si="0"/>
        <v>223275.875315007</v>
      </c>
    </row>
    <row r="75" ht="15" customHeight="1">
      <c r="A75" s="7">
        <v>25</v>
      </c>
      <c r="B75" s="7" t="s">
        <v>83</v>
      </c>
      <c r="C75" s="18">
        <v>0.35</v>
      </c>
      <c r="D75" s="16">
        <v>50709.12</v>
      </c>
      <c r="E75" s="16">
        <v>40567.3</v>
      </c>
      <c r="F75" s="16">
        <v>32200</v>
      </c>
      <c r="G75" s="16">
        <v>8367.3</v>
      </c>
      <c r="H75" s="16">
        <f>IF(B75=B74,H74+G75,G75-Model_Assumptions!$B$3)</f>
        <v>-341632.7</v>
      </c>
      <c r="I75" s="7">
        <f>1/(1+Model_Assumptions!$B$8/12)^A75</f>
        <v>0.804287477163843</v>
      </c>
      <c r="J75" s="16">
        <f t="shared" si="0"/>
        <v>6729.71460767302</v>
      </c>
    </row>
    <row r="76" ht="15" customHeight="1">
      <c r="A76" s="8">
        <v>25</v>
      </c>
      <c r="B76" s="8" t="s">
        <v>85</v>
      </c>
      <c r="C76" s="19">
        <v>0.62</v>
      </c>
      <c r="D76" s="17">
        <v>163322.88</v>
      </c>
      <c r="E76" s="17">
        <v>150257.05</v>
      </c>
      <c r="F76" s="17">
        <v>28000</v>
      </c>
      <c r="G76" s="17">
        <v>122257.05</v>
      </c>
      <c r="H76" s="17">
        <f>IF(B76=B75,H75+G76,G76-Model_Assumptions!$B$3)</f>
        <v>-227742.95</v>
      </c>
      <c r="I76" s="8">
        <f>1/(1+Model_Assumptions!$B$8/12)^A76</f>
        <v>0.804287477163843</v>
      </c>
      <c r="J76" s="17">
        <f t="shared" si="0"/>
        <v>98329.8143099938</v>
      </c>
    </row>
    <row r="77" ht="15" customHeight="1">
      <c r="A77" s="7">
        <v>25</v>
      </c>
      <c r="B77" s="7" t="s">
        <v>87</v>
      </c>
      <c r="C77" s="18">
        <v>0.82</v>
      </c>
      <c r="D77" s="16">
        <v>313211.14</v>
      </c>
      <c r="E77" s="16">
        <v>303814.8</v>
      </c>
      <c r="F77" s="16">
        <v>25760</v>
      </c>
      <c r="G77" s="16">
        <v>278054.8</v>
      </c>
      <c r="H77" s="16">
        <f>IF(B77=B76,H76+G77,G77-Model_Assumptions!$B$3)</f>
        <v>-71945.2</v>
      </c>
      <c r="I77" s="7">
        <f>1/(1+Model_Assumptions!$B$8/12)^A77</f>
        <v>0.804287477163843</v>
      </c>
      <c r="J77" s="16">
        <f t="shared" si="0"/>
        <v>223635.993605297</v>
      </c>
    </row>
    <row r="78" ht="15" customHeight="1">
      <c r="A78" s="8">
        <v>26</v>
      </c>
      <c r="B78" s="8" t="s">
        <v>83</v>
      </c>
      <c r="C78" s="19">
        <v>0.35</v>
      </c>
      <c r="D78" s="17">
        <v>51190.29</v>
      </c>
      <c r="E78" s="17">
        <v>40952.23</v>
      </c>
      <c r="F78" s="17">
        <v>32200</v>
      </c>
      <c r="G78" s="17">
        <v>8752.23</v>
      </c>
      <c r="H78" s="17">
        <f>IF(B78=B77,H77+G78,G78-Model_Assumptions!$B$3)</f>
        <v>-341247.77</v>
      </c>
      <c r="I78" s="8">
        <f>1/(1+Model_Assumptions!$B$8/12)^A78</f>
        <v>0.797311005862546</v>
      </c>
      <c r="J78" s="17">
        <f t="shared" si="0"/>
        <v>6978.24930484035</v>
      </c>
    </row>
    <row r="79" ht="15" customHeight="1">
      <c r="A79" s="7">
        <v>26</v>
      </c>
      <c r="B79" s="7" t="s">
        <v>85</v>
      </c>
      <c r="C79" s="18">
        <v>0.62</v>
      </c>
      <c r="D79" s="16">
        <v>164872.62</v>
      </c>
      <c r="E79" s="16">
        <v>151682.81</v>
      </c>
      <c r="F79" s="16">
        <v>28000</v>
      </c>
      <c r="G79" s="16">
        <v>123682.81</v>
      </c>
      <c r="H79" s="16">
        <f>IF(B79=B78,H78+G79,G79-Model_Assumptions!$B$3)</f>
        <v>-226317.19</v>
      </c>
      <c r="I79" s="7">
        <f>1/(1+Model_Assumptions!$B$8/12)^A79</f>
        <v>0.797311005862546</v>
      </c>
      <c r="J79" s="16">
        <f t="shared" si="0"/>
        <v>98613.6656490062</v>
      </c>
    </row>
    <row r="80" ht="15" customHeight="1">
      <c r="A80" s="8">
        <v>26</v>
      </c>
      <c r="B80" s="8" t="s">
        <v>87</v>
      </c>
      <c r="C80" s="19">
        <v>0.82</v>
      </c>
      <c r="D80" s="17">
        <v>316183.13</v>
      </c>
      <c r="E80" s="17">
        <v>306697.64</v>
      </c>
      <c r="F80" s="17">
        <v>25760</v>
      </c>
      <c r="G80" s="17">
        <v>280937.64</v>
      </c>
      <c r="H80" s="17">
        <f>IF(B80=B79,H79+G80,G80-Model_Assumptions!$B$3)</f>
        <v>-69062.36</v>
      </c>
      <c r="I80" s="8">
        <f>1/(1+Model_Assumptions!$B$8/12)^A80</f>
        <v>0.797311005862546</v>
      </c>
      <c r="J80" s="17">
        <f t="shared" si="0"/>
        <v>223994.67233305</v>
      </c>
    </row>
    <row r="81" ht="15" customHeight="1">
      <c r="A81" s="7">
        <v>27</v>
      </c>
      <c r="B81" s="7" t="s">
        <v>83</v>
      </c>
      <c r="C81" s="18">
        <v>0.35</v>
      </c>
      <c r="D81" s="16">
        <v>51676.02</v>
      </c>
      <c r="E81" s="16">
        <v>41340.82</v>
      </c>
      <c r="F81" s="16">
        <v>32200</v>
      </c>
      <c r="G81" s="16">
        <v>9140.82</v>
      </c>
      <c r="H81" s="16">
        <f>IF(B81=B80,H80+G81,G81-Model_Assumptions!$B$3)</f>
        <v>-340859.18</v>
      </c>
      <c r="I81" s="7">
        <f>1/(1+Model_Assumptions!$B$8/12)^A81</f>
        <v>0.790395049182202</v>
      </c>
      <c r="J81" s="16">
        <f t="shared" si="0"/>
        <v>7224.85887346566</v>
      </c>
    </row>
    <row r="82" ht="15" customHeight="1">
      <c r="A82" s="8">
        <v>27</v>
      </c>
      <c r="B82" s="8" t="s">
        <v>85</v>
      </c>
      <c r="C82" s="19">
        <v>0.62</v>
      </c>
      <c r="D82" s="17">
        <v>166437.06</v>
      </c>
      <c r="E82" s="17">
        <v>153122.09</v>
      </c>
      <c r="F82" s="17">
        <v>28000</v>
      </c>
      <c r="G82" s="17">
        <v>125122.09</v>
      </c>
      <c r="H82" s="17">
        <f>IF(B82=B81,H81+G82,G82-Model_Assumptions!$B$3)</f>
        <v>-224877.91</v>
      </c>
      <c r="I82" s="8">
        <f>1/(1+Model_Assumptions!$B$8/12)^A82</f>
        <v>0.790395049182202</v>
      </c>
      <c r="J82" s="17">
        <f t="shared" si="0"/>
        <v>98895.8804793299</v>
      </c>
    </row>
    <row r="83" ht="15" customHeight="1">
      <c r="A83" s="7">
        <v>27</v>
      </c>
      <c r="B83" s="7" t="s">
        <v>87</v>
      </c>
      <c r="C83" s="18">
        <v>0.82</v>
      </c>
      <c r="D83" s="16">
        <v>319183.33</v>
      </c>
      <c r="E83" s="16">
        <v>309607.83</v>
      </c>
      <c r="F83" s="16">
        <v>25760</v>
      </c>
      <c r="G83" s="16">
        <v>283847.83</v>
      </c>
      <c r="H83" s="16">
        <f>IF(B83=B82,H82+G83,G83-Model_Assumptions!$B$3)</f>
        <v>-66152.17</v>
      </c>
      <c r="I83" s="7">
        <f>1/(1+Model_Assumptions!$B$8/12)^A83</f>
        <v>0.790395049182202</v>
      </c>
      <c r="J83" s="16">
        <f t="shared" si="0"/>
        <v>224351.919553111</v>
      </c>
    </row>
    <row r="84" ht="15" customHeight="1">
      <c r="A84" s="8">
        <v>28</v>
      </c>
      <c r="B84" s="8" t="s">
        <v>83</v>
      </c>
      <c r="C84" s="19">
        <v>0.35</v>
      </c>
      <c r="D84" s="17">
        <v>52166.37</v>
      </c>
      <c r="E84" s="17">
        <v>41733.09</v>
      </c>
      <c r="F84" s="17">
        <v>32200</v>
      </c>
      <c r="G84" s="17">
        <v>9533.09</v>
      </c>
      <c r="H84" s="17">
        <f>IF(B84=B83,H83+G84,G84-Model_Assumptions!$B$3)</f>
        <v>-340466.91</v>
      </c>
      <c r="I84" s="8">
        <f>1/(1+Model_Assumptions!$B$8/12)^A84</f>
        <v>0.783539082212839</v>
      </c>
      <c r="J84" s="17">
        <f t="shared" si="0"/>
        <v>7469.54858925239</v>
      </c>
    </row>
    <row r="85" ht="15" customHeight="1">
      <c r="A85" s="7">
        <v>28</v>
      </c>
      <c r="B85" s="7" t="s">
        <v>85</v>
      </c>
      <c r="C85" s="18">
        <v>0.62</v>
      </c>
      <c r="D85" s="16">
        <v>168016.35</v>
      </c>
      <c r="E85" s="16">
        <v>154575.04</v>
      </c>
      <c r="F85" s="16">
        <v>28000</v>
      </c>
      <c r="G85" s="16">
        <v>126575.04</v>
      </c>
      <c r="H85" s="16">
        <f>IF(B85=B84,H84+G85,G85-Model_Assumptions!$B$3)</f>
        <v>-223424.96</v>
      </c>
      <c r="I85" s="7">
        <f>1/(1+Model_Assumptions!$B$8/12)^A85</f>
        <v>0.783539082212839</v>
      </c>
      <c r="J85" s="16">
        <f t="shared" si="0"/>
        <v>99176.4906726534</v>
      </c>
    </row>
    <row r="86" ht="15" customHeight="1">
      <c r="A86" s="8">
        <v>28</v>
      </c>
      <c r="B86" s="8" t="s">
        <v>87</v>
      </c>
      <c r="C86" s="19">
        <v>0.82</v>
      </c>
      <c r="D86" s="17">
        <v>322211.99</v>
      </c>
      <c r="E86" s="17">
        <v>312545.63</v>
      </c>
      <c r="F86" s="17">
        <v>25760</v>
      </c>
      <c r="G86" s="17">
        <v>286785.63</v>
      </c>
      <c r="H86" s="17">
        <f>IF(B86=B85,H85+G86,G86-Model_Assumptions!$B$3)</f>
        <v>-63214.37</v>
      </c>
      <c r="I86" s="8">
        <f>1/(1+Model_Assumptions!$B$8/12)^A86</f>
        <v>0.783539082212839</v>
      </c>
      <c r="J86" s="17">
        <f t="shared" si="0"/>
        <v>224707.749322031</v>
      </c>
    </row>
    <row r="87" ht="15" customHeight="1">
      <c r="A87" s="7">
        <v>29</v>
      </c>
      <c r="B87" s="7" t="s">
        <v>83</v>
      </c>
      <c r="C87" s="18">
        <v>0.35</v>
      </c>
      <c r="D87" s="16">
        <v>52661.36</v>
      </c>
      <c r="E87" s="16">
        <v>42129.09</v>
      </c>
      <c r="F87" s="16">
        <v>32200</v>
      </c>
      <c r="G87" s="16">
        <v>9929.09</v>
      </c>
      <c r="H87" s="16">
        <f>IF(B87=B86,H86+G87,G87-Model_Assumptions!$B$3)</f>
        <v>-340070.91</v>
      </c>
      <c r="I87" s="7">
        <f>1/(1+Model_Assumptions!$B$8/12)^A87</f>
        <v>0.77674258459761</v>
      </c>
      <c r="J87" s="16">
        <f t="shared" si="0"/>
        <v>7712.34702930228</v>
      </c>
    </row>
    <row r="88" ht="15" customHeight="1">
      <c r="A88" s="8">
        <v>29</v>
      </c>
      <c r="B88" s="8" t="s">
        <v>85</v>
      </c>
      <c r="C88" s="19">
        <v>0.62</v>
      </c>
      <c r="D88" s="17">
        <v>169610.62</v>
      </c>
      <c r="E88" s="17">
        <v>156041.77</v>
      </c>
      <c r="F88" s="17">
        <v>28000</v>
      </c>
      <c r="G88" s="17">
        <v>128041.77</v>
      </c>
      <c r="H88" s="17">
        <f>IF(B88=B87,H87+G88,G88-Model_Assumptions!$B$3)</f>
        <v>-221958.23</v>
      </c>
      <c r="I88" s="8">
        <f>1/(1+Model_Assumptions!$B$8/12)^A88</f>
        <v>0.77674258459761</v>
      </c>
      <c r="J88" s="17">
        <f t="shared" si="0"/>
        <v>99455.4953662527</v>
      </c>
    </row>
    <row r="89" ht="15" customHeight="1">
      <c r="A89" s="7">
        <v>29</v>
      </c>
      <c r="B89" s="7" t="s">
        <v>87</v>
      </c>
      <c r="C89" s="18">
        <v>0.82</v>
      </c>
      <c r="D89" s="16">
        <v>325269.4</v>
      </c>
      <c r="E89" s="16">
        <v>315511.31</v>
      </c>
      <c r="F89" s="16">
        <v>25760</v>
      </c>
      <c r="G89" s="16">
        <v>289751.31</v>
      </c>
      <c r="H89" s="16">
        <f>IF(B89=B88,H88+G89,G89-Model_Assumptions!$B$3)</f>
        <v>-60248.69</v>
      </c>
      <c r="I89" s="7">
        <f>1/(1+Model_Assumptions!$B$8/12)^A89</f>
        <v>0.77674258459761</v>
      </c>
      <c r="J89" s="16">
        <f t="shared" si="0"/>
        <v>225062.181419943</v>
      </c>
    </row>
    <row r="90" ht="15" customHeight="1">
      <c r="A90" s="8">
        <v>30</v>
      </c>
      <c r="B90" s="8" t="s">
        <v>83</v>
      </c>
      <c r="C90" s="19">
        <v>0.35</v>
      </c>
      <c r="D90" s="17">
        <v>53161.05</v>
      </c>
      <c r="E90" s="17">
        <v>42528.84</v>
      </c>
      <c r="F90" s="17">
        <v>32200</v>
      </c>
      <c r="G90" s="17">
        <v>10328.84</v>
      </c>
      <c r="H90" s="17">
        <f>IF(B90=B89,H89+G90,G90-Model_Assumptions!$B$3)</f>
        <v>-339671.16</v>
      </c>
      <c r="I90" s="8">
        <f>1/(1+Model_Assumptions!$B$8/12)^A90</f>
        <v>0.770005040493294</v>
      </c>
      <c r="J90" s="17">
        <f t="shared" si="0"/>
        <v>7953.25886244875</v>
      </c>
    </row>
    <row r="91" ht="15" customHeight="1">
      <c r="A91" s="7">
        <v>30</v>
      </c>
      <c r="B91" s="7" t="s">
        <v>85</v>
      </c>
      <c r="C91" s="18">
        <v>0.62</v>
      </c>
      <c r="D91" s="16">
        <v>171220.02</v>
      </c>
      <c r="E91" s="16">
        <v>157522.42</v>
      </c>
      <c r="F91" s="16">
        <v>28000</v>
      </c>
      <c r="G91" s="16">
        <v>129522.42</v>
      </c>
      <c r="H91" s="16">
        <f>IF(B91=B90,H90+G91,G91-Model_Assumptions!$B$3)</f>
        <v>-220477.58</v>
      </c>
      <c r="I91" s="7">
        <f>1/(1+Model_Assumptions!$B$8/12)^A91</f>
        <v>0.770005040493294</v>
      </c>
      <c r="J91" s="16">
        <f t="shared" si="0"/>
        <v>99732.9162568894</v>
      </c>
    </row>
    <row r="92" ht="15" customHeight="1">
      <c r="A92" s="8">
        <v>30</v>
      </c>
      <c r="B92" s="8" t="s">
        <v>87</v>
      </c>
      <c r="C92" s="19">
        <v>0.82</v>
      </c>
      <c r="D92" s="17">
        <v>328355.81</v>
      </c>
      <c r="E92" s="17">
        <v>318505.13</v>
      </c>
      <c r="F92" s="17">
        <v>25760</v>
      </c>
      <c r="G92" s="17">
        <v>292745.13</v>
      </c>
      <c r="H92" s="17">
        <f>IF(B92=B91,H91+G92,G92-Model_Assumptions!$B$3)</f>
        <v>-57254.87</v>
      </c>
      <c r="I92" s="8">
        <f>1/(1+Model_Assumptions!$B$8/12)^A92</f>
        <v>0.770005040493294</v>
      </c>
      <c r="J92" s="17">
        <f t="shared" si="0"/>
        <v>225415.225679865</v>
      </c>
    </row>
    <row r="93" ht="15" customHeight="1">
      <c r="A93" s="7">
        <v>31</v>
      </c>
      <c r="B93" s="7" t="s">
        <v>83</v>
      </c>
      <c r="C93" s="18">
        <v>0.35</v>
      </c>
      <c r="D93" s="16">
        <v>53665.49</v>
      </c>
      <c r="E93" s="16">
        <v>42932.39</v>
      </c>
      <c r="F93" s="16">
        <v>32200</v>
      </c>
      <c r="G93" s="16">
        <v>10732.39</v>
      </c>
      <c r="H93" s="16">
        <f>IF(B93=B92,H92+G93,G93-Model_Assumptions!$B$3)</f>
        <v>-339267.61</v>
      </c>
      <c r="I93" s="7">
        <f>1/(1+Model_Assumptions!$B$8/12)^A93</f>
        <v>0.763325938531146</v>
      </c>
      <c r="J93" s="16">
        <f t="shared" si="0"/>
        <v>8192.31166943229</v>
      </c>
    </row>
    <row r="94" ht="15" customHeight="1">
      <c r="A94" s="8">
        <v>31</v>
      </c>
      <c r="B94" s="8" t="s">
        <v>85</v>
      </c>
      <c r="C94" s="19">
        <v>0.62</v>
      </c>
      <c r="D94" s="17">
        <v>172844.69</v>
      </c>
      <c r="E94" s="17">
        <v>159017.11</v>
      </c>
      <c r="F94" s="17">
        <v>28000</v>
      </c>
      <c r="G94" s="17">
        <v>131017.11</v>
      </c>
      <c r="H94" s="17">
        <f>IF(B94=B93,H93+G94,G94-Model_Assumptions!$B$3)</f>
        <v>-218982.89</v>
      </c>
      <c r="I94" s="8">
        <f>1/(1+Model_Assumptions!$B$8/12)^A94</f>
        <v>0.763325938531146</v>
      </c>
      <c r="J94" s="17">
        <f t="shared" si="0"/>
        <v>100008.758454388</v>
      </c>
    </row>
    <row r="95" ht="15" customHeight="1">
      <c r="A95" s="7">
        <v>31</v>
      </c>
      <c r="B95" s="7" t="s">
        <v>87</v>
      </c>
      <c r="C95" s="18">
        <v>0.82</v>
      </c>
      <c r="D95" s="16">
        <v>331471.51</v>
      </c>
      <c r="E95" s="16">
        <v>321527.36</v>
      </c>
      <c r="F95" s="16">
        <v>25760</v>
      </c>
      <c r="G95" s="16">
        <v>295767.36</v>
      </c>
      <c r="H95" s="16">
        <f>IF(B95=B94,H94+G95,G95-Model_Assumptions!$B$3)</f>
        <v>-54232.64</v>
      </c>
      <c r="I95" s="7">
        <f>1/(1+Model_Assumptions!$B$8/12)^A95</f>
        <v>0.763325938531146</v>
      </c>
      <c r="J95" s="16">
        <f t="shared" si="0"/>
        <v>225766.897658879</v>
      </c>
    </row>
    <row r="96" ht="15" customHeight="1">
      <c r="A96" s="8">
        <v>32</v>
      </c>
      <c r="B96" s="8" t="s">
        <v>83</v>
      </c>
      <c r="C96" s="19">
        <v>0.35</v>
      </c>
      <c r="D96" s="17">
        <v>54174.71</v>
      </c>
      <c r="E96" s="17">
        <v>43339.77</v>
      </c>
      <c r="F96" s="17">
        <v>32200</v>
      </c>
      <c r="G96" s="17">
        <v>11139.77</v>
      </c>
      <c r="H96" s="17">
        <f>IF(B96=B95,H95+G96,G96-Model_Assumptions!$B$3)</f>
        <v>-338860.23</v>
      </c>
      <c r="I96" s="8">
        <f>1/(1+Model_Assumptions!$B$8/12)^A96</f>
        <v>0.756704771778088</v>
      </c>
      <c r="J96" s="17">
        <f t="shared" si="0"/>
        <v>8429.51711551039</v>
      </c>
    </row>
    <row r="97" ht="15" customHeight="1">
      <c r="A97" s="7">
        <v>32</v>
      </c>
      <c r="B97" s="7" t="s">
        <v>85</v>
      </c>
      <c r="C97" s="18">
        <v>0.62</v>
      </c>
      <c r="D97" s="16">
        <v>174484.78</v>
      </c>
      <c r="E97" s="16">
        <v>160525.99</v>
      </c>
      <c r="F97" s="16">
        <v>28000</v>
      </c>
      <c r="G97" s="16">
        <v>132525.99</v>
      </c>
      <c r="H97" s="16">
        <f>IF(B97=B96,H96+G97,G97-Model_Assumptions!$B$3)</f>
        <v>-217474.01</v>
      </c>
      <c r="I97" s="7">
        <f>1/(1+Model_Assumptions!$B$8/12)^A97</f>
        <v>0.756704771778088</v>
      </c>
      <c r="J97" s="16">
        <f t="shared" si="0"/>
        <v>100283.049017615</v>
      </c>
    </row>
    <row r="98" ht="15" customHeight="1">
      <c r="A98" s="8">
        <v>32</v>
      </c>
      <c r="B98" s="8" t="s">
        <v>87</v>
      </c>
      <c r="C98" s="19">
        <v>0.82</v>
      </c>
      <c r="D98" s="17">
        <v>334616.77</v>
      </c>
      <c r="E98" s="17">
        <v>324578.27</v>
      </c>
      <c r="F98" s="17">
        <v>25760</v>
      </c>
      <c r="G98" s="17">
        <v>298818.27</v>
      </c>
      <c r="H98" s="17">
        <f>IF(B98=B97,H97+G98,G98-Model_Assumptions!$B$3)</f>
        <v>-51181.73</v>
      </c>
      <c r="I98" s="8">
        <f>1/(1+Model_Assumptions!$B$8/12)^A98</f>
        <v>0.756704771778088</v>
      </c>
      <c r="J98" s="17">
        <f t="shared" si="0"/>
        <v>226117.210803473</v>
      </c>
    </row>
    <row r="99" ht="15" customHeight="1">
      <c r="A99" s="7">
        <v>33</v>
      </c>
      <c r="B99" s="7" t="s">
        <v>83</v>
      </c>
      <c r="C99" s="18">
        <v>0.35</v>
      </c>
      <c r="D99" s="16">
        <v>54688.76</v>
      </c>
      <c r="E99" s="16">
        <v>43751.01</v>
      </c>
      <c r="F99" s="16">
        <v>32200</v>
      </c>
      <c r="G99" s="16">
        <v>11551.01</v>
      </c>
      <c r="H99" s="16">
        <f>IF(B99=B98,H98+G99,G99-Model_Assumptions!$B$3)</f>
        <v>-338448.99</v>
      </c>
      <c r="I99" s="7">
        <f>1/(1+Model_Assumptions!$B$8/12)^A99</f>
        <v>0.750141037698229</v>
      </c>
      <c r="J99" s="16">
        <f t="shared" si="0"/>
        <v>8664.88662786262</v>
      </c>
    </row>
    <row r="100" ht="15" customHeight="1">
      <c r="A100" s="8">
        <v>33</v>
      </c>
      <c r="B100" s="8" t="s">
        <v>85</v>
      </c>
      <c r="C100" s="19">
        <v>0.62</v>
      </c>
      <c r="D100" s="17">
        <v>176140.43</v>
      </c>
      <c r="E100" s="17">
        <v>162049.19</v>
      </c>
      <c r="F100" s="17">
        <v>28000</v>
      </c>
      <c r="G100" s="17">
        <v>134049.19</v>
      </c>
      <c r="H100" s="17">
        <f>IF(B100=B99,H99+G100,G100-Model_Assumptions!$B$3)</f>
        <v>-215950.81</v>
      </c>
      <c r="I100" s="8">
        <f>1/(1+Model_Assumptions!$B$8/12)^A100</f>
        <v>0.750141037698229</v>
      </c>
      <c r="J100" s="17">
        <f t="shared" si="0"/>
        <v>100555.798489207</v>
      </c>
    </row>
    <row r="101" ht="15" customHeight="1">
      <c r="A101" s="7">
        <v>33</v>
      </c>
      <c r="B101" s="7" t="s">
        <v>87</v>
      </c>
      <c r="C101" s="18">
        <v>0.82</v>
      </c>
      <c r="D101" s="16">
        <v>337791.88</v>
      </c>
      <c r="E101" s="16">
        <v>327658.13</v>
      </c>
      <c r="F101" s="16">
        <v>25760</v>
      </c>
      <c r="G101" s="16">
        <v>301898.13</v>
      </c>
      <c r="H101" s="16">
        <f>IF(B101=B100,H100+G101,G101-Model_Assumptions!$B$3)</f>
        <v>-48101.87</v>
      </c>
      <c r="I101" s="7">
        <f>1/(1+Model_Assumptions!$B$8/12)^A101</f>
        <v>0.750141037698229</v>
      </c>
      <c r="J101" s="16">
        <f t="shared" si="0"/>
        <v>226466.176517355</v>
      </c>
    </row>
    <row r="102" ht="15" customHeight="1">
      <c r="A102" s="8">
        <v>34</v>
      </c>
      <c r="B102" s="8" t="s">
        <v>83</v>
      </c>
      <c r="C102" s="19">
        <v>0.35</v>
      </c>
      <c r="D102" s="17">
        <v>55207.69</v>
      </c>
      <c r="E102" s="17">
        <v>44166.15</v>
      </c>
      <c r="F102" s="17">
        <v>32200</v>
      </c>
      <c r="G102" s="17">
        <v>11966.15</v>
      </c>
      <c r="H102" s="17">
        <f>IF(B102=B101,H101+G102,G102-Model_Assumptions!$B$3)</f>
        <v>-338033.85</v>
      </c>
      <c r="I102" s="8">
        <f>1/(1+Model_Assumptions!$B$8/12)^A102</f>
        <v>0.743634238114725</v>
      </c>
      <c r="J102" s="17">
        <f t="shared" si="0"/>
        <v>8898.43883841652</v>
      </c>
    </row>
    <row r="103" ht="15" customHeight="1">
      <c r="A103" s="7">
        <v>34</v>
      </c>
      <c r="B103" s="7" t="s">
        <v>85</v>
      </c>
      <c r="C103" s="18">
        <v>0.62</v>
      </c>
      <c r="D103" s="16">
        <v>177811.79</v>
      </c>
      <c r="E103" s="16">
        <v>163586.84</v>
      </c>
      <c r="F103" s="16">
        <v>28000</v>
      </c>
      <c r="G103" s="16">
        <v>135586.84</v>
      </c>
      <c r="H103" s="16">
        <f>IF(B103=B102,H102+G103,G103-Model_Assumptions!$B$3)</f>
        <v>-214413.16</v>
      </c>
      <c r="I103" s="7">
        <f>1/(1+Model_Assumptions!$B$8/12)^A103</f>
        <v>0.743634238114725</v>
      </c>
      <c r="J103" s="16">
        <f t="shared" si="0"/>
        <v>100827.016461783</v>
      </c>
    </row>
    <row r="104" ht="15" customHeight="1">
      <c r="A104" s="8">
        <v>34</v>
      </c>
      <c r="B104" s="8" t="s">
        <v>87</v>
      </c>
      <c r="C104" s="19">
        <v>0.82</v>
      </c>
      <c r="D104" s="17">
        <v>340997.12</v>
      </c>
      <c r="E104" s="17">
        <v>330767.21</v>
      </c>
      <c r="F104" s="17">
        <v>25760</v>
      </c>
      <c r="G104" s="17">
        <v>305007.21</v>
      </c>
      <c r="H104" s="17">
        <f>IF(B104=B103,H103+G104,G104-Model_Assumptions!$B$3)</f>
        <v>-44992.79</v>
      </c>
      <c r="I104" s="8">
        <f>1/(1+Model_Assumptions!$B$8/12)^A104</f>
        <v>0.743634238114725</v>
      </c>
      <c r="J104" s="17">
        <f t="shared" si="0"/>
        <v>226813.804227848</v>
      </c>
    </row>
    <row r="105" ht="15" customHeight="1">
      <c r="A105" s="7">
        <v>35</v>
      </c>
      <c r="B105" s="7" t="s">
        <v>83</v>
      </c>
      <c r="C105" s="18">
        <v>0.35</v>
      </c>
      <c r="D105" s="16">
        <v>55731.55</v>
      </c>
      <c r="E105" s="16">
        <v>44585.24</v>
      </c>
      <c r="F105" s="16">
        <v>32200</v>
      </c>
      <c r="G105" s="16">
        <v>12385.24</v>
      </c>
      <c r="H105" s="16">
        <f>IF(B105=B104,H104+G105,G105-Model_Assumptions!$B$3)</f>
        <v>-337614.76</v>
      </c>
      <c r="I105" s="7">
        <f>1/(1+Model_Assumptions!$B$8/12)^A105</f>
        <v>0.73718387917197</v>
      </c>
      <c r="J105" s="16">
        <f t="shared" si="0"/>
        <v>9130.19926767585</v>
      </c>
    </row>
    <row r="106" ht="15" customHeight="1">
      <c r="A106" s="8">
        <v>35</v>
      </c>
      <c r="B106" s="8" t="s">
        <v>85</v>
      </c>
      <c r="C106" s="19">
        <v>0.62</v>
      </c>
      <c r="D106" s="17">
        <v>179499.01</v>
      </c>
      <c r="E106" s="17">
        <v>165139.09</v>
      </c>
      <c r="F106" s="17">
        <v>28000</v>
      </c>
      <c r="G106" s="17">
        <v>137139.09</v>
      </c>
      <c r="H106" s="17">
        <f>IF(B106=B105,H105+G106,G106-Model_Assumptions!$B$3)</f>
        <v>-212860.91</v>
      </c>
      <c r="I106" s="8">
        <f>1/(1+Model_Assumptions!$B$8/12)^A106</f>
        <v>0.73718387917197</v>
      </c>
      <c r="J106" s="17">
        <f t="shared" si="0"/>
        <v>101096.726352314</v>
      </c>
    </row>
    <row r="107" ht="15" customHeight="1">
      <c r="A107" s="7">
        <v>35</v>
      </c>
      <c r="B107" s="7" t="s">
        <v>87</v>
      </c>
      <c r="C107" s="18">
        <v>0.82</v>
      </c>
      <c r="D107" s="16">
        <v>344232.77</v>
      </c>
      <c r="E107" s="16">
        <v>333905.79</v>
      </c>
      <c r="F107" s="16">
        <v>25760</v>
      </c>
      <c r="G107" s="16">
        <v>308145.79</v>
      </c>
      <c r="H107" s="16">
        <f>IF(B107=B106,H106+G107,G107-Model_Assumptions!$B$3)</f>
        <v>-41854.21</v>
      </c>
      <c r="I107" s="7">
        <f>1/(1+Model_Assumptions!$B$8/12)^A107</f>
        <v>0.73718387917197</v>
      </c>
      <c r="J107" s="16">
        <f t="shared" si="0"/>
        <v>227160.108822711</v>
      </c>
    </row>
    <row r="108" ht="15" customHeight="1">
      <c r="A108" s="8">
        <v>36</v>
      </c>
      <c r="B108" s="8" t="s">
        <v>83</v>
      </c>
      <c r="C108" s="19">
        <v>0.35</v>
      </c>
      <c r="D108" s="17">
        <v>56260.37</v>
      </c>
      <c r="E108" s="17">
        <v>45008.3</v>
      </c>
      <c r="F108" s="17">
        <v>32200</v>
      </c>
      <c r="G108" s="17">
        <v>12808.3</v>
      </c>
      <c r="H108" s="17">
        <f>IF(B108=B107,H107+G108,G108-Model_Assumptions!$B$3)</f>
        <v>-337191.7</v>
      </c>
      <c r="I108" s="8">
        <f>1/(1+Model_Assumptions!$B$8/12)^A108</f>
        <v>0.730789471298112</v>
      </c>
      <c r="J108" s="17">
        <f t="shared" si="0"/>
        <v>9360.17078522761</v>
      </c>
    </row>
    <row r="109" ht="15" customHeight="1">
      <c r="A109" s="7">
        <v>36</v>
      </c>
      <c r="B109" s="7" t="s">
        <v>85</v>
      </c>
      <c r="C109" s="18">
        <v>0.62</v>
      </c>
      <c r="D109" s="16">
        <v>181202.24</v>
      </c>
      <c r="E109" s="16">
        <v>166706.06</v>
      </c>
      <c r="F109" s="16">
        <v>28000</v>
      </c>
      <c r="G109" s="16">
        <v>138706.06</v>
      </c>
      <c r="H109" s="16">
        <f>IF(B109=B108,H108+G109,G109-Model_Assumptions!$B$3)</f>
        <v>-211293.94</v>
      </c>
      <c r="I109" s="7">
        <f>1/(1+Model_Assumptions!$B$8/12)^A109</f>
        <v>0.730789471298112</v>
      </c>
      <c r="J109" s="16">
        <f t="shared" si="0"/>
        <v>101364.928253244</v>
      </c>
    </row>
    <row r="110" ht="15" customHeight="1">
      <c r="A110" s="8">
        <v>36</v>
      </c>
      <c r="B110" s="8" t="s">
        <v>87</v>
      </c>
      <c r="C110" s="19">
        <v>0.82</v>
      </c>
      <c r="D110" s="17">
        <v>347499.13</v>
      </c>
      <c r="E110" s="17">
        <v>337074.15</v>
      </c>
      <c r="F110" s="17">
        <v>25760</v>
      </c>
      <c r="G110" s="17">
        <v>311314.15</v>
      </c>
      <c r="H110" s="17">
        <f>IF(B110=B109,H109+G110,G110-Model_Assumptions!$B$3)</f>
        <v>-38685.85</v>
      </c>
      <c r="I110" s="8">
        <f>1/(1+Model_Assumptions!$B$8/12)^A110</f>
        <v>0.730789471298112</v>
      </c>
      <c r="J110" s="17">
        <f t="shared" si="0"/>
        <v>227505.103086121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E71A85-3015-8536-CCB8-31C0890C8A48}" mc:Ignorable="x14ac xr xr2 xr3">
  <dimension ref="A1:F9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0.00390625" customWidth="1"/>
    <col min="2" max="2" width="14.00390625" customWidth="1"/>
    <col min="3" max="3" width="12.00390625" customWidth="1"/>
    <col min="4" max="4" width="21.00390625" customWidth="1"/>
    <col min="5" max="5" width="12.00390625" customWidth="1"/>
    <col min="6" max="6" width="42.00390625" customWidth="1"/>
  </cols>
  <sheetData>
    <row r="1" ht="15" customHeight="1">
      <c r="A1" s="1"/>
      <c r="B1" s="1"/>
      <c r="C1" s="1"/>
      <c r="D1" s="1"/>
      <c r="E1" s="1"/>
      <c r="F1" s="1"/>
    </row>
    <row r="2" ht="15" customHeight="1">
      <c r="A2" s="6" t="s">
        <v>101</v>
      </c>
      <c r="B2" s="6" t="s">
        <v>102</v>
      </c>
      <c r="C2" s="6" t="s">
        <v>103</v>
      </c>
      <c r="D2" s="6" t="s">
        <v>104</v>
      </c>
      <c r="E2" s="6" t="s">
        <v>105</v>
      </c>
      <c r="F2" s="6" t="s">
        <v>106</v>
      </c>
    </row>
    <row r="3" ht="15" customHeight="1">
      <c r="A3" s="7" t="s">
        <v>78</v>
      </c>
      <c r="B3" s="7" t="s">
        <v>107</v>
      </c>
      <c r="C3" s="7">
        <v>0.3</v>
      </c>
      <c r="D3" s="7">
        <v>0.62</v>
      </c>
      <c r="E3" s="7">
        <v>0.86</v>
      </c>
      <c r="F3" s="7" t="s">
        <v>108</v>
      </c>
    </row>
    <row r="4" ht="15" customHeight="1">
      <c r="A4" s="8" t="s">
        <v>79</v>
      </c>
      <c r="B4" s="8" t="s">
        <v>109</v>
      </c>
      <c r="C4" s="8">
        <v>1</v>
      </c>
      <c r="D4" s="8">
        <v>0.18</v>
      </c>
      <c r="E4" s="8"/>
      <c r="F4" s="8" t="s">
        <v>110</v>
      </c>
    </row>
    <row r="5" ht="15" customHeight="1">
      <c r="A5" s="7" t="s">
        <v>111</v>
      </c>
      <c r="B5" s="7" t="s">
        <v>109</v>
      </c>
      <c r="C5" s="7">
        <v>28000</v>
      </c>
      <c r="D5" s="7">
        <v>4500</v>
      </c>
      <c r="E5" s="7"/>
      <c r="F5" s="7" t="s">
        <v>112</v>
      </c>
    </row>
    <row r="6" ht="15" customHeight="1">
      <c r="A6" s="8" t="s">
        <v>81</v>
      </c>
      <c r="B6" s="8" t="s">
        <v>107</v>
      </c>
      <c r="C6" s="8">
        <v>0.76</v>
      </c>
      <c r="D6" s="8">
        <v>0.92</v>
      </c>
      <c r="E6" s="8">
        <v>0.98</v>
      </c>
      <c r="F6" s="8" t="s">
        <v>113</v>
      </c>
    </row>
    <row r="7" ht="15" customHeight="1">
      <c r="A7" s="7" t="s">
        <v>114</v>
      </c>
      <c r="B7" s="7" t="s">
        <v>109</v>
      </c>
      <c r="C7" s="7">
        <v>0.1</v>
      </c>
      <c r="D7" s="7">
        <v>0.04</v>
      </c>
      <c r="E7" s="7"/>
      <c r="F7" s="7" t="s">
        <v>115</v>
      </c>
    </row>
    <row r="8" ht="15" customHeight="1">
      <c r="A8" s="8" t="s">
        <v>116</v>
      </c>
      <c r="B8" s="8" t="s">
        <v>117</v>
      </c>
      <c r="C8" s="8">
        <v>0.105</v>
      </c>
      <c r="D8" s="8">
        <v>0</v>
      </c>
      <c r="E8" s="8"/>
      <c r="F8" s="8" t="s">
        <v>118</v>
      </c>
    </row>
    <row r="9" ht="15" customHeight="1">
      <c r="A9" s="7" t="s">
        <v>119</v>
      </c>
      <c r="B9" s="7" t="s">
        <v>117</v>
      </c>
      <c r="C9" s="7">
        <v>350000</v>
      </c>
      <c r="D9" s="7">
        <v>0</v>
      </c>
      <c r="E9" s="7"/>
      <c r="F9" s="7" t="s">
        <v>120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40C4D6-BB58-8338-9ACD-549FA3FE7E28}" mc:Ignorable="x14ac xr xr2 xr3">
  <dimension ref="A1:I200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2.00390625" customWidth="1"/>
    <col min="2" max="2" width="15.00390625" customWidth="1"/>
    <col min="3" max="3" width="20.00390625" customWidth="1"/>
    <col min="4" max="4" width="14.00390625" customWidth="1"/>
    <col min="5" max="5" width="17.00390625" customWidth="1"/>
    <col min="6" max="6" width="20.00390625" customWidth="1"/>
    <col min="7" max="7" width="14.00390625" customWidth="1"/>
    <col min="8" max="8" width="29.00390625" customWidth="1"/>
    <col min="9" max="9" width="2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5" customHeight="1">
      <c r="A2" s="6" t="s">
        <v>121</v>
      </c>
      <c r="B2" s="6" t="s">
        <v>78</v>
      </c>
      <c r="C2" s="6" t="s">
        <v>79</v>
      </c>
      <c r="D2" s="6" t="s">
        <v>111</v>
      </c>
      <c r="E2" s="6" t="s">
        <v>81</v>
      </c>
      <c r="F2" s="6" t="s">
        <v>114</v>
      </c>
      <c r="G2" s="6" t="s">
        <v>122</v>
      </c>
      <c r="H2" s="6" t="s">
        <v>123</v>
      </c>
      <c r="I2" s="6" t="s">
        <v>124</v>
      </c>
    </row>
    <row r="3" ht="15" customHeight="1">
      <c r="A3" s="7">
        <v>1</v>
      </c>
      <c r="B3" s="18">
        <v>0.5606</v>
      </c>
      <c r="C3" s="18">
        <v>1.0151</v>
      </c>
      <c r="D3" s="16">
        <v>25367.92</v>
      </c>
      <c r="E3" s="18">
        <v>0.9532</v>
      </c>
      <c r="F3" s="18">
        <v>0.1438</v>
      </c>
      <c r="G3" s="16">
        <v>3117052.6</v>
      </c>
      <c r="H3" s="16">
        <v>3759292.69</v>
      </c>
      <c r="I3" s="7" t="s">
        <v>125</v>
      </c>
    </row>
    <row r="4" ht="15" customHeight="1">
      <c r="A4" s="8">
        <v>2</v>
      </c>
      <c r="B4" s="19">
        <v>0.3883</v>
      </c>
      <c r="C4" s="19">
        <v>0.9772</v>
      </c>
      <c r="D4" s="17">
        <v>31659.57</v>
      </c>
      <c r="E4" s="19">
        <v>0.9233</v>
      </c>
      <c r="F4" s="19">
        <v>0.1433</v>
      </c>
      <c r="G4" s="17">
        <v>1417449.82</v>
      </c>
      <c r="H4" s="17">
        <v>1751866.93</v>
      </c>
      <c r="I4" s="8" t="s">
        <v>125</v>
      </c>
    </row>
    <row r="5" ht="15" customHeight="1">
      <c r="A5" s="7">
        <v>3</v>
      </c>
      <c r="B5" s="18">
        <v>0.4734</v>
      </c>
      <c r="C5" s="18">
        <v>0.9853</v>
      </c>
      <c r="D5" s="16">
        <v>29426.68</v>
      </c>
      <c r="E5" s="18">
        <v>0.9172</v>
      </c>
      <c r="F5" s="18">
        <v>0.1222</v>
      </c>
      <c r="G5" s="16">
        <v>2001452.29</v>
      </c>
      <c r="H5" s="16">
        <v>2435945.67</v>
      </c>
      <c r="I5" s="7" t="s">
        <v>125</v>
      </c>
    </row>
    <row r="6" ht="15" customHeight="1">
      <c r="A6" s="8">
        <v>4</v>
      </c>
      <c r="B6" s="19">
        <v>0.6794</v>
      </c>
      <c r="C6" s="19">
        <v>0.7966</v>
      </c>
      <c r="D6" s="17">
        <v>29636.72</v>
      </c>
      <c r="E6" s="19">
        <v>0.8925</v>
      </c>
      <c r="F6" s="19">
        <v>0.1272</v>
      </c>
      <c r="G6" s="17">
        <v>2439505.3</v>
      </c>
      <c r="H6" s="17">
        <v>2954732.11</v>
      </c>
      <c r="I6" s="8" t="s">
        <v>125</v>
      </c>
    </row>
    <row r="7" ht="15" customHeight="1">
      <c r="A7" s="7">
        <v>5</v>
      </c>
      <c r="B7" s="18">
        <v>0.5349</v>
      </c>
      <c r="C7" s="18">
        <v>1.3244</v>
      </c>
      <c r="D7" s="16">
        <v>32642.22</v>
      </c>
      <c r="E7" s="18">
        <v>0.8943</v>
      </c>
      <c r="F7" s="18">
        <v>0.1135</v>
      </c>
      <c r="G7" s="16">
        <v>3414584.94</v>
      </c>
      <c r="H7" s="16">
        <v>4102065.34</v>
      </c>
      <c r="I7" s="7" t="s">
        <v>125</v>
      </c>
    </row>
    <row r="8" ht="15" customHeight="1">
      <c r="A8" s="8">
        <v>6</v>
      </c>
      <c r="B8" s="19">
        <v>0.5144</v>
      </c>
      <c r="C8" s="19">
        <v>1.0525</v>
      </c>
      <c r="D8" s="17">
        <v>24025.72</v>
      </c>
      <c r="E8" s="19">
        <v>0.8841</v>
      </c>
      <c r="F8" s="19">
        <v>0.0725</v>
      </c>
      <c r="G8" s="17">
        <v>2323393.44</v>
      </c>
      <c r="H8" s="17">
        <v>2800060.8</v>
      </c>
      <c r="I8" s="8" t="s">
        <v>125</v>
      </c>
    </row>
    <row r="9" ht="15" customHeight="1">
      <c r="A9" s="7">
        <v>7</v>
      </c>
      <c r="B9" s="18">
        <v>0.6692</v>
      </c>
      <c r="C9" s="18">
        <v>0.9003</v>
      </c>
      <c r="D9" s="16">
        <v>33353.77</v>
      </c>
      <c r="E9" s="18">
        <v>0.8572</v>
      </c>
      <c r="F9" s="18">
        <v>0.0865</v>
      </c>
      <c r="G9" s="16">
        <v>2375017.32</v>
      </c>
      <c r="H9" s="16">
        <v>2867116.11</v>
      </c>
      <c r="I9" s="7" t="s">
        <v>125</v>
      </c>
    </row>
    <row r="10" ht="15" customHeight="1">
      <c r="A10" s="8">
        <v>8</v>
      </c>
      <c r="B10" s="19">
        <v>0.6794</v>
      </c>
      <c r="C10" s="19">
        <v>1.3797</v>
      </c>
      <c r="D10" s="17">
        <v>25244.66</v>
      </c>
      <c r="E10" s="19">
        <v>0.9043</v>
      </c>
      <c r="F10" s="19">
        <v>0.1277</v>
      </c>
      <c r="G10" s="17">
        <v>5374179.75</v>
      </c>
      <c r="H10" s="17">
        <v>6419707.02</v>
      </c>
      <c r="I10" s="8" t="s">
        <v>125</v>
      </c>
    </row>
    <row r="11" ht="15" customHeight="1">
      <c r="A11" s="7">
        <v>9</v>
      </c>
      <c r="B11" s="18">
        <v>0.4189</v>
      </c>
      <c r="C11" s="18">
        <v>0.9875</v>
      </c>
      <c r="D11" s="16">
        <v>19708.01</v>
      </c>
      <c r="E11" s="18">
        <v>0.8756</v>
      </c>
      <c r="F11" s="18">
        <v>0.1423</v>
      </c>
      <c r="G11" s="16">
        <v>1874663.11</v>
      </c>
      <c r="H11" s="16">
        <v>2287721.37</v>
      </c>
      <c r="I11" s="7" t="s">
        <v>125</v>
      </c>
    </row>
    <row r="12" ht="15" customHeight="1">
      <c r="A12" s="8">
        <v>10</v>
      </c>
      <c r="B12" s="19">
        <v>0.3963</v>
      </c>
      <c r="C12" s="19">
        <v>0.7751</v>
      </c>
      <c r="D12" s="17">
        <v>29764.41</v>
      </c>
      <c r="E12" s="19">
        <v>0.9337</v>
      </c>
      <c r="F12" s="19">
        <v>0.1296</v>
      </c>
      <c r="G12" s="17">
        <v>938866.09</v>
      </c>
      <c r="H12" s="17">
        <v>1182800.18</v>
      </c>
      <c r="I12" s="8" t="s">
        <v>125</v>
      </c>
    </row>
    <row r="13" ht="15" customHeight="1">
      <c r="A13" s="7">
        <v>11</v>
      </c>
      <c r="B13" s="18">
        <v>0.4691</v>
      </c>
      <c r="C13" s="18">
        <v>1.125</v>
      </c>
      <c r="D13" s="16">
        <v>27035.56</v>
      </c>
      <c r="E13" s="18">
        <v>0.9276</v>
      </c>
      <c r="F13" s="18">
        <v>0.0554</v>
      </c>
      <c r="G13" s="16">
        <v>2229293.93</v>
      </c>
      <c r="H13" s="16">
        <v>2684892.47</v>
      </c>
      <c r="I13" s="7" t="s">
        <v>125</v>
      </c>
    </row>
    <row r="14" ht="15" customHeight="1">
      <c r="A14" s="8">
        <v>12</v>
      </c>
      <c r="B14" s="19">
        <v>0.5079</v>
      </c>
      <c r="C14" s="19">
        <v>1.0233</v>
      </c>
      <c r="D14" s="17">
        <v>25947.52</v>
      </c>
      <c r="E14" s="19">
        <v>0.9321</v>
      </c>
      <c r="F14" s="19">
        <v>0.0967</v>
      </c>
      <c r="G14" s="17">
        <v>2418341.06</v>
      </c>
      <c r="H14" s="17">
        <v>2919481.99</v>
      </c>
      <c r="I14" s="8" t="s">
        <v>125</v>
      </c>
    </row>
    <row r="15" ht="15" customHeight="1">
      <c r="A15" s="7">
        <v>13</v>
      </c>
      <c r="B15" s="18">
        <v>0.5867</v>
      </c>
      <c r="C15" s="18">
        <v>1.1054</v>
      </c>
      <c r="D15" s="16">
        <v>30068.03</v>
      </c>
      <c r="E15" s="18">
        <v>0.9231</v>
      </c>
      <c r="F15" s="18">
        <v>0.1263</v>
      </c>
      <c r="G15" s="16">
        <v>3307133.65</v>
      </c>
      <c r="H15" s="16">
        <v>3979322.97</v>
      </c>
      <c r="I15" s="7" t="s">
        <v>125</v>
      </c>
    </row>
    <row r="16" ht="15" customHeight="1">
      <c r="A16" s="8">
        <v>14</v>
      </c>
      <c r="B16" s="19">
        <v>0.4992</v>
      </c>
      <c r="C16" s="19">
        <v>0.9369</v>
      </c>
      <c r="D16" s="17">
        <v>22021.84</v>
      </c>
      <c r="E16" s="19">
        <v>0.8877</v>
      </c>
      <c r="F16" s="19">
        <v>0.1289</v>
      </c>
      <c r="G16" s="17">
        <v>2160971.3</v>
      </c>
      <c r="H16" s="17">
        <v>2623643.16</v>
      </c>
      <c r="I16" s="8" t="s">
        <v>125</v>
      </c>
    </row>
    <row r="17" ht="15" customHeight="1">
      <c r="A17" s="7">
        <v>15</v>
      </c>
      <c r="B17" s="18">
        <v>0.6333</v>
      </c>
      <c r="C17" s="18">
        <v>1.1829</v>
      </c>
      <c r="D17" s="16">
        <v>32993.45</v>
      </c>
      <c r="E17" s="18">
        <v>0.8959</v>
      </c>
      <c r="F17" s="18">
        <v>0.1352</v>
      </c>
      <c r="G17" s="16">
        <v>3831425.23</v>
      </c>
      <c r="H17" s="16">
        <v>4603260.54</v>
      </c>
      <c r="I17" s="7" t="s">
        <v>125</v>
      </c>
    </row>
    <row r="18" ht="15" customHeight="1">
      <c r="A18" s="8">
        <v>16</v>
      </c>
      <c r="B18" s="19">
        <v>0.3858</v>
      </c>
      <c r="C18" s="19">
        <v>0.858</v>
      </c>
      <c r="D18" s="17">
        <v>29069.06</v>
      </c>
      <c r="E18" s="19">
        <v>0.9285</v>
      </c>
      <c r="F18" s="19">
        <v>0.0611</v>
      </c>
      <c r="G18" s="17">
        <v>913488.73</v>
      </c>
      <c r="H18" s="17">
        <v>1140136.37</v>
      </c>
      <c r="I18" s="8" t="s">
        <v>125</v>
      </c>
    </row>
    <row r="19" ht="15" customHeight="1">
      <c r="A19" s="7">
        <v>17</v>
      </c>
      <c r="B19" s="18">
        <v>0.5281</v>
      </c>
      <c r="C19" s="18">
        <v>0.8152</v>
      </c>
      <c r="D19" s="16">
        <v>32149.77</v>
      </c>
      <c r="E19" s="18">
        <v>0.8522</v>
      </c>
      <c r="F19" s="18">
        <v>0.0711</v>
      </c>
      <c r="G19" s="16">
        <v>1271586.11</v>
      </c>
      <c r="H19" s="16">
        <v>1563871.59</v>
      </c>
      <c r="I19" s="7" t="s">
        <v>125</v>
      </c>
    </row>
    <row r="20" ht="15" customHeight="1">
      <c r="A20" s="8">
        <v>18</v>
      </c>
      <c r="B20" s="19">
        <v>0.752</v>
      </c>
      <c r="C20" s="19">
        <v>0.9627</v>
      </c>
      <c r="D20" s="17">
        <v>20681.07</v>
      </c>
      <c r="E20" s="19">
        <v>0.9376</v>
      </c>
      <c r="F20" s="19">
        <v>0.0898</v>
      </c>
      <c r="G20" s="17">
        <v>3966113.33</v>
      </c>
      <c r="H20" s="17">
        <v>4739391.68</v>
      </c>
      <c r="I20" s="8" t="s">
        <v>125</v>
      </c>
    </row>
    <row r="21" ht="15" customHeight="1">
      <c r="A21" s="7">
        <v>19</v>
      </c>
      <c r="B21" s="18">
        <v>0.7318</v>
      </c>
      <c r="C21" s="18">
        <v>1.0698</v>
      </c>
      <c r="D21" s="16">
        <v>36543.16</v>
      </c>
      <c r="E21" s="18">
        <v>0.9037</v>
      </c>
      <c r="F21" s="18">
        <v>0.1076</v>
      </c>
      <c r="G21" s="16">
        <v>3809944.41</v>
      </c>
      <c r="H21" s="16">
        <v>4567164.77</v>
      </c>
      <c r="I21" s="7" t="s">
        <v>125</v>
      </c>
    </row>
    <row r="22" ht="15" customHeight="1">
      <c r="A22" s="8">
        <v>20</v>
      </c>
      <c r="B22" s="19">
        <v>0.6087</v>
      </c>
      <c r="C22" s="19">
        <v>0.9008</v>
      </c>
      <c r="D22" s="17">
        <v>23386.6</v>
      </c>
      <c r="E22" s="19">
        <v>0.9712</v>
      </c>
      <c r="F22" s="19">
        <v>0.0933</v>
      </c>
      <c r="G22" s="17">
        <v>2832872.56</v>
      </c>
      <c r="H22" s="17">
        <v>3406227.02</v>
      </c>
      <c r="I22" s="8" t="s">
        <v>125</v>
      </c>
    </row>
    <row r="23" ht="15" customHeight="1">
      <c r="A23" s="7">
        <v>21</v>
      </c>
      <c r="B23" s="18">
        <v>0.6597</v>
      </c>
      <c r="C23" s="18">
        <v>0.8096</v>
      </c>
      <c r="D23" s="16">
        <v>21966.18</v>
      </c>
      <c r="E23" s="18">
        <v>0.786</v>
      </c>
      <c r="F23" s="18">
        <v>0.0861</v>
      </c>
      <c r="G23" s="16">
        <v>2021600.18</v>
      </c>
      <c r="H23" s="16">
        <v>2448109.11</v>
      </c>
      <c r="I23" s="7" t="s">
        <v>125</v>
      </c>
    </row>
    <row r="24" ht="15" customHeight="1">
      <c r="A24" s="8">
        <v>22</v>
      </c>
      <c r="B24" s="19">
        <v>0.6632</v>
      </c>
      <c r="C24" s="19">
        <v>1.3273</v>
      </c>
      <c r="D24" s="17">
        <v>24724.65</v>
      </c>
      <c r="E24" s="19">
        <v>0.8413</v>
      </c>
      <c r="F24" s="19">
        <v>0.045</v>
      </c>
      <c r="G24" s="17">
        <v>3977941.88</v>
      </c>
      <c r="H24" s="17">
        <v>4734634.86</v>
      </c>
      <c r="I24" s="8" t="s">
        <v>125</v>
      </c>
    </row>
    <row r="25" ht="15" customHeight="1">
      <c r="A25" s="7">
        <v>23</v>
      </c>
      <c r="B25" s="18">
        <v>0.5742</v>
      </c>
      <c r="C25" s="18">
        <v>0.8515</v>
      </c>
      <c r="D25" s="16">
        <v>23156.85</v>
      </c>
      <c r="E25" s="18">
        <v>0.8579</v>
      </c>
      <c r="F25" s="18">
        <v>0.1721</v>
      </c>
      <c r="G25" s="16">
        <v>2343880.48</v>
      </c>
      <c r="H25" s="16">
        <v>2851897.07</v>
      </c>
      <c r="I25" s="7" t="s">
        <v>125</v>
      </c>
    </row>
    <row r="26" ht="15" customHeight="1">
      <c r="A26" s="8">
        <v>24</v>
      </c>
      <c r="B26" s="19">
        <v>0.6379</v>
      </c>
      <c r="C26" s="19">
        <v>0.7992</v>
      </c>
      <c r="D26" s="17">
        <v>30623.33</v>
      </c>
      <c r="E26" s="19">
        <v>0.88</v>
      </c>
      <c r="F26" s="19">
        <v>0.0273</v>
      </c>
      <c r="G26" s="17">
        <v>1717210.21</v>
      </c>
      <c r="H26" s="17">
        <v>2076253.16</v>
      </c>
      <c r="I26" s="8" t="s">
        <v>125</v>
      </c>
    </row>
    <row r="27" ht="15" customHeight="1">
      <c r="A27" s="7">
        <v>25</v>
      </c>
      <c r="B27" s="18">
        <v>0.6568</v>
      </c>
      <c r="C27" s="18">
        <v>1.0423</v>
      </c>
      <c r="D27" s="16">
        <v>25125.27</v>
      </c>
      <c r="E27" s="18">
        <v>0.9216</v>
      </c>
      <c r="F27" s="18">
        <v>0.0437</v>
      </c>
      <c r="G27" s="16">
        <v>3204550.77</v>
      </c>
      <c r="H27" s="16">
        <v>3826136.59</v>
      </c>
      <c r="I27" s="7" t="s">
        <v>125</v>
      </c>
    </row>
    <row r="28" ht="15" customHeight="1">
      <c r="A28" s="8">
        <v>26</v>
      </c>
      <c r="B28" s="19">
        <v>0.6857</v>
      </c>
      <c r="C28" s="19">
        <v>0.8631</v>
      </c>
      <c r="D28" s="17">
        <v>22566.12</v>
      </c>
      <c r="E28" s="19">
        <v>0.9028</v>
      </c>
      <c r="F28" s="19">
        <v>0.0546</v>
      </c>
      <c r="G28" s="17">
        <v>2674487.65</v>
      </c>
      <c r="H28" s="17">
        <v>3207068.56</v>
      </c>
      <c r="I28" s="8" t="s">
        <v>125</v>
      </c>
    </row>
    <row r="29" ht="15" customHeight="1">
      <c r="A29" s="7">
        <v>27</v>
      </c>
      <c r="B29" s="18">
        <v>0.5883</v>
      </c>
      <c r="C29" s="18">
        <v>1.2867</v>
      </c>
      <c r="D29" s="16">
        <v>37222.37</v>
      </c>
      <c r="E29" s="18">
        <v>0.8151</v>
      </c>
      <c r="F29" s="18">
        <v>0.088</v>
      </c>
      <c r="G29" s="16">
        <v>2995438.92</v>
      </c>
      <c r="H29" s="16">
        <v>3599275.85</v>
      </c>
      <c r="I29" s="7" t="s">
        <v>125</v>
      </c>
    </row>
    <row r="30" ht="15" customHeight="1">
      <c r="A30" s="8">
        <v>28</v>
      </c>
      <c r="B30" s="19">
        <v>0.585</v>
      </c>
      <c r="C30" s="19">
        <v>0.842</v>
      </c>
      <c r="D30" s="17">
        <v>31052.53</v>
      </c>
      <c r="E30" s="19">
        <v>0.9115</v>
      </c>
      <c r="F30" s="19">
        <v>0.0116</v>
      </c>
      <c r="G30" s="17">
        <v>1642005.61</v>
      </c>
      <c r="H30" s="17">
        <v>1983929.25</v>
      </c>
      <c r="I30" s="8" t="s">
        <v>125</v>
      </c>
    </row>
    <row r="31" ht="15" customHeight="1">
      <c r="A31" s="7">
        <v>29</v>
      </c>
      <c r="B31" s="18">
        <v>0.6138</v>
      </c>
      <c r="C31" s="18">
        <v>0.867</v>
      </c>
      <c r="D31" s="16">
        <v>30388.25</v>
      </c>
      <c r="E31" s="18">
        <v>0.8457</v>
      </c>
      <c r="F31" s="18">
        <v>0.0844</v>
      </c>
      <c r="G31" s="16">
        <v>1974872.21</v>
      </c>
      <c r="H31" s="16">
        <v>2394583.31</v>
      </c>
      <c r="I31" s="7" t="s">
        <v>125</v>
      </c>
    </row>
    <row r="32" ht="15" customHeight="1">
      <c r="A32" s="8">
        <v>30</v>
      </c>
      <c r="B32" s="19">
        <v>0.4515</v>
      </c>
      <c r="C32" s="19">
        <v>1.0968</v>
      </c>
      <c r="D32" s="17">
        <v>29302.05</v>
      </c>
      <c r="E32" s="19">
        <v>0.9142</v>
      </c>
      <c r="F32" s="19">
        <v>0.0718</v>
      </c>
      <c r="G32" s="17">
        <v>1972799.97</v>
      </c>
      <c r="H32" s="17">
        <v>2388419.85</v>
      </c>
      <c r="I32" s="8" t="s">
        <v>125</v>
      </c>
    </row>
    <row r="33" ht="15" customHeight="1">
      <c r="A33" s="7">
        <v>31</v>
      </c>
      <c r="B33" s="18">
        <v>0.3822</v>
      </c>
      <c r="C33" s="18">
        <v>0.9981</v>
      </c>
      <c r="D33" s="16">
        <v>32686.99</v>
      </c>
      <c r="E33" s="18">
        <v>0.9123</v>
      </c>
      <c r="F33" s="18">
        <v>0.0572</v>
      </c>
      <c r="G33" s="16">
        <v>1075476.62</v>
      </c>
      <c r="H33" s="16">
        <v>1330356.82</v>
      </c>
      <c r="I33" s="7" t="s">
        <v>125</v>
      </c>
    </row>
    <row r="34" ht="15" customHeight="1">
      <c r="A34" s="8">
        <v>32</v>
      </c>
      <c r="B34" s="19">
        <v>0.7688</v>
      </c>
      <c r="C34" s="19">
        <v>1.0532</v>
      </c>
      <c r="D34" s="17">
        <v>24461.22</v>
      </c>
      <c r="E34" s="19">
        <v>0.8376</v>
      </c>
      <c r="F34" s="19">
        <v>0.0961</v>
      </c>
      <c r="G34" s="17">
        <v>3886255.5</v>
      </c>
      <c r="H34" s="17">
        <v>4648887.37</v>
      </c>
      <c r="I34" s="8" t="s">
        <v>125</v>
      </c>
    </row>
    <row r="35" ht="15" customHeight="1">
      <c r="A35" s="7">
        <v>33</v>
      </c>
      <c r="B35" s="18">
        <v>0.5514</v>
      </c>
      <c r="C35" s="18">
        <v>0.7623</v>
      </c>
      <c r="D35" s="16">
        <v>32176.68</v>
      </c>
      <c r="E35" s="18">
        <v>0.8892</v>
      </c>
      <c r="F35" s="18">
        <v>0.0621</v>
      </c>
      <c r="G35" s="16">
        <v>1288188.17</v>
      </c>
      <c r="H35" s="16">
        <v>1581364.84</v>
      </c>
      <c r="I35" s="7" t="s">
        <v>125</v>
      </c>
    </row>
    <row r="36" ht="15" customHeight="1">
      <c r="A36" s="8">
        <v>34</v>
      </c>
      <c r="B36" s="19">
        <v>0.391</v>
      </c>
      <c r="C36" s="19">
        <v>0.7485</v>
      </c>
      <c r="D36" s="17">
        <v>37314.78</v>
      </c>
      <c r="E36" s="19">
        <v>0.9269</v>
      </c>
      <c r="F36" s="19">
        <v>0.0577</v>
      </c>
      <c r="G36" s="17">
        <v>398180.97</v>
      </c>
      <c r="H36" s="17">
        <v>535204.31</v>
      </c>
      <c r="I36" s="8" t="s">
        <v>125</v>
      </c>
    </row>
    <row r="37" ht="15" customHeight="1">
      <c r="A37" s="7">
        <v>35</v>
      </c>
      <c r="B37" s="18">
        <v>0.5147</v>
      </c>
      <c r="C37" s="18">
        <v>0.9868</v>
      </c>
      <c r="D37" s="16">
        <v>29082.06</v>
      </c>
      <c r="E37" s="18">
        <v>0.9224</v>
      </c>
      <c r="F37" s="18">
        <v>0.084</v>
      </c>
      <c r="G37" s="16">
        <v>2146807.76</v>
      </c>
      <c r="H37" s="16">
        <v>2596627.62</v>
      </c>
      <c r="I37" s="7" t="s">
        <v>125</v>
      </c>
    </row>
    <row r="38" ht="15" customHeight="1">
      <c r="A38" s="8">
        <v>36</v>
      </c>
      <c r="B38" s="19">
        <v>0.5453</v>
      </c>
      <c r="C38" s="19">
        <v>0.9091</v>
      </c>
      <c r="D38" s="17">
        <v>34439.72</v>
      </c>
      <c r="E38" s="19">
        <v>0.8879</v>
      </c>
      <c r="F38" s="19">
        <v>0.0988</v>
      </c>
      <c r="G38" s="17">
        <v>1840050.47</v>
      </c>
      <c r="H38" s="17">
        <v>2240699.58</v>
      </c>
      <c r="I38" s="8" t="s">
        <v>125</v>
      </c>
    </row>
    <row r="39" ht="15" customHeight="1">
      <c r="A39" s="7">
        <v>37</v>
      </c>
      <c r="B39" s="18">
        <v>0.4572</v>
      </c>
      <c r="C39" s="18">
        <v>1.1962</v>
      </c>
      <c r="D39" s="16">
        <v>24622.53</v>
      </c>
      <c r="E39" s="18">
        <v>0.9171</v>
      </c>
      <c r="F39" s="18">
        <v>0.0462</v>
      </c>
      <c r="G39" s="16">
        <v>2343604.75</v>
      </c>
      <c r="H39" s="16">
        <v>2816045.03</v>
      </c>
      <c r="I39" s="7" t="s">
        <v>125</v>
      </c>
    </row>
    <row r="40" ht="15" customHeight="1">
      <c r="A40" s="8">
        <v>38</v>
      </c>
      <c r="B40" s="19">
        <v>0.4843</v>
      </c>
      <c r="C40" s="19">
        <v>0.8674</v>
      </c>
      <c r="D40" s="17">
        <v>20701.06</v>
      </c>
      <c r="E40" s="19">
        <v>0.9371</v>
      </c>
      <c r="F40" s="19">
        <v>0.0785</v>
      </c>
      <c r="G40" s="17">
        <v>1841852.39</v>
      </c>
      <c r="H40" s="17">
        <v>2234291.39</v>
      </c>
      <c r="I40" s="8" t="s">
        <v>125</v>
      </c>
    </row>
    <row r="41" ht="15" customHeight="1">
      <c r="A41" s="7">
        <v>39</v>
      </c>
      <c r="B41" s="18">
        <v>0.403</v>
      </c>
      <c r="C41" s="18">
        <v>1.049</v>
      </c>
      <c r="D41" s="16">
        <v>29118.1</v>
      </c>
      <c r="E41" s="18">
        <v>0.9403</v>
      </c>
      <c r="F41" s="18">
        <v>0.1324</v>
      </c>
      <c r="G41" s="16">
        <v>1820956.93</v>
      </c>
      <c r="H41" s="16">
        <v>2225297.99</v>
      </c>
      <c r="I41" s="7" t="s">
        <v>125</v>
      </c>
    </row>
    <row r="42" ht="15" customHeight="1">
      <c r="A42" s="8">
        <v>40</v>
      </c>
      <c r="B42" s="19">
        <v>0.6589</v>
      </c>
      <c r="C42" s="19">
        <v>1.1554</v>
      </c>
      <c r="D42" s="17">
        <v>31261.72</v>
      </c>
      <c r="E42" s="19">
        <v>0.8021</v>
      </c>
      <c r="F42" s="19">
        <v>0.065</v>
      </c>
      <c r="G42" s="17">
        <v>2998087.79</v>
      </c>
      <c r="H42" s="17">
        <v>3592476.18</v>
      </c>
      <c r="I42" s="8" t="s">
        <v>125</v>
      </c>
    </row>
    <row r="43" ht="15" customHeight="1">
      <c r="A43" s="7">
        <v>41</v>
      </c>
      <c r="B43" s="18">
        <v>0.5749</v>
      </c>
      <c r="C43" s="18">
        <v>0.8911</v>
      </c>
      <c r="D43" s="16">
        <v>34577.02</v>
      </c>
      <c r="E43" s="18">
        <v>0.8864</v>
      </c>
      <c r="F43" s="18">
        <v>0.1209</v>
      </c>
      <c r="G43" s="16">
        <v>2037652.1</v>
      </c>
      <c r="H43" s="16">
        <v>2480018.06</v>
      </c>
      <c r="I43" s="7" t="s">
        <v>125</v>
      </c>
    </row>
    <row r="44" ht="15" customHeight="1">
      <c r="A44" s="8">
        <v>42</v>
      </c>
      <c r="B44" s="19">
        <v>0.6468</v>
      </c>
      <c r="C44" s="19">
        <v>0.9621</v>
      </c>
      <c r="D44" s="17">
        <v>18736.43</v>
      </c>
      <c r="E44" s="19">
        <v>0.8137</v>
      </c>
      <c r="F44" s="19">
        <v>0.0511</v>
      </c>
      <c r="G44" s="17">
        <v>2580889.78</v>
      </c>
      <c r="H44" s="17">
        <v>3095437.04</v>
      </c>
      <c r="I44" s="8" t="s">
        <v>125</v>
      </c>
    </row>
    <row r="45" ht="15" customHeight="1">
      <c r="A45" s="7">
        <v>43</v>
      </c>
      <c r="B45" s="18">
        <v>0.5452</v>
      </c>
      <c r="C45" s="18">
        <v>1.057</v>
      </c>
      <c r="D45" s="16">
        <v>17478.13</v>
      </c>
      <c r="E45" s="18">
        <v>0.9634</v>
      </c>
      <c r="F45" s="18">
        <v>0.0357</v>
      </c>
      <c r="G45" s="16">
        <v>2878756.89</v>
      </c>
      <c r="H45" s="16">
        <v>3440040.69</v>
      </c>
      <c r="I45" s="7" t="s">
        <v>125</v>
      </c>
    </row>
    <row r="46" ht="15" customHeight="1">
      <c r="A46" s="8">
        <v>44</v>
      </c>
      <c r="B46" s="19">
        <v>0.5356</v>
      </c>
      <c r="C46" s="19">
        <v>0.8207</v>
      </c>
      <c r="D46" s="17">
        <v>31070.94</v>
      </c>
      <c r="E46" s="19">
        <v>0.9277</v>
      </c>
      <c r="F46" s="19">
        <v>0.0317</v>
      </c>
      <c r="G46" s="17">
        <v>1445922.42</v>
      </c>
      <c r="H46" s="17">
        <v>1759272.88</v>
      </c>
      <c r="I46" s="8" t="s">
        <v>125</v>
      </c>
    </row>
    <row r="47" ht="15" customHeight="1">
      <c r="A47" s="7">
        <v>45</v>
      </c>
      <c r="B47" s="18">
        <v>0.5079</v>
      </c>
      <c r="C47" s="18">
        <v>0.8151</v>
      </c>
      <c r="D47" s="16">
        <v>24341.71</v>
      </c>
      <c r="E47" s="18">
        <v>0.9122</v>
      </c>
      <c r="F47" s="18">
        <v>0.1036</v>
      </c>
      <c r="G47" s="16">
        <v>1706547.25</v>
      </c>
      <c r="H47" s="16">
        <v>2081771.24</v>
      </c>
      <c r="I47" s="7" t="s">
        <v>125</v>
      </c>
    </row>
    <row r="48" ht="15" customHeight="1">
      <c r="A48" s="8">
        <v>46</v>
      </c>
      <c r="B48" s="19">
        <v>0.4709</v>
      </c>
      <c r="C48" s="19">
        <v>1.1029</v>
      </c>
      <c r="D48" s="17">
        <v>21889.04</v>
      </c>
      <c r="E48" s="19">
        <v>0.8215</v>
      </c>
      <c r="F48" s="19">
        <v>0.1045</v>
      </c>
      <c r="G48" s="17">
        <v>2150746.66</v>
      </c>
      <c r="H48" s="17">
        <v>2605105.43</v>
      </c>
      <c r="I48" s="8" t="s">
        <v>125</v>
      </c>
    </row>
    <row r="49" ht="15" customHeight="1">
      <c r="A49" s="7">
        <v>47</v>
      </c>
      <c r="B49" s="18">
        <v>0.6531</v>
      </c>
      <c r="C49" s="18">
        <v>1.1218</v>
      </c>
      <c r="D49" s="16">
        <v>25571.73</v>
      </c>
      <c r="E49" s="18">
        <v>0.8527</v>
      </c>
      <c r="F49" s="18">
        <v>0.0599</v>
      </c>
      <c r="G49" s="16">
        <v>3242469.59</v>
      </c>
      <c r="H49" s="16">
        <v>3876897.11</v>
      </c>
      <c r="I49" s="7" t="s">
        <v>125</v>
      </c>
    </row>
    <row r="50" ht="15" customHeight="1">
      <c r="A50" s="8">
        <v>48</v>
      </c>
      <c r="B50" s="19">
        <v>0.6281</v>
      </c>
      <c r="C50" s="19">
        <v>0.894</v>
      </c>
      <c r="D50" s="17">
        <v>29124.01</v>
      </c>
      <c r="E50" s="19">
        <v>0.944</v>
      </c>
      <c r="F50" s="19">
        <v>0.0761</v>
      </c>
      <c r="G50" s="17">
        <v>2551902.75</v>
      </c>
      <c r="H50" s="17">
        <v>3071084.59</v>
      </c>
      <c r="I50" s="8" t="s">
        <v>125</v>
      </c>
    </row>
    <row r="51" ht="15" customHeight="1">
      <c r="A51" s="7">
        <v>49</v>
      </c>
      <c r="B51" s="18">
        <v>0.5773</v>
      </c>
      <c r="C51" s="18">
        <v>1.0828</v>
      </c>
      <c r="D51" s="16">
        <v>32614.38</v>
      </c>
      <c r="E51" s="18">
        <v>0.8628</v>
      </c>
      <c r="F51" s="18">
        <v>0.139</v>
      </c>
      <c r="G51" s="16">
        <v>2843351.55</v>
      </c>
      <c r="H51" s="16">
        <v>3436786.33</v>
      </c>
      <c r="I51" s="7" t="s">
        <v>125</v>
      </c>
    </row>
    <row r="52" ht="15" customHeight="1">
      <c r="A52" s="8">
        <v>50</v>
      </c>
      <c r="B52" s="19">
        <v>0.6137</v>
      </c>
      <c r="C52" s="19">
        <v>0.8354</v>
      </c>
      <c r="D52" s="17">
        <v>29793.77</v>
      </c>
      <c r="E52" s="19">
        <v>0.9477</v>
      </c>
      <c r="F52" s="19">
        <v>0.0162</v>
      </c>
      <c r="G52" s="17">
        <v>1943440.39</v>
      </c>
      <c r="H52" s="17">
        <v>2338239.19</v>
      </c>
      <c r="I52" s="8" t="s">
        <v>125</v>
      </c>
    </row>
    <row r="53" ht="15" customHeight="1">
      <c r="A53" s="7">
        <v>51</v>
      </c>
      <c r="B53" s="18">
        <v>0.6342</v>
      </c>
      <c r="C53" s="18">
        <v>0.9005</v>
      </c>
      <c r="D53" s="16">
        <v>27778.45</v>
      </c>
      <c r="E53" s="18">
        <v>0.8869</v>
      </c>
      <c r="F53" s="18">
        <v>0.1222</v>
      </c>
      <c r="G53" s="16">
        <v>2651213.57</v>
      </c>
      <c r="H53" s="16">
        <v>3202583.08</v>
      </c>
      <c r="I53" s="7" t="s">
        <v>125</v>
      </c>
    </row>
    <row r="54" ht="15" customHeight="1">
      <c r="A54" s="8">
        <v>52</v>
      </c>
      <c r="B54" s="19">
        <v>0.5871</v>
      </c>
      <c r="C54" s="19">
        <v>0.6999</v>
      </c>
      <c r="D54" s="17">
        <v>27488.94</v>
      </c>
      <c r="E54" s="19">
        <v>0.8768</v>
      </c>
      <c r="F54" s="19">
        <v>0.0744</v>
      </c>
      <c r="G54" s="17">
        <v>1379383.37</v>
      </c>
      <c r="H54" s="17">
        <v>1690509.57</v>
      </c>
      <c r="I54" s="8" t="s">
        <v>125</v>
      </c>
    </row>
    <row r="55" ht="15" customHeight="1">
      <c r="A55" s="7">
        <v>53</v>
      </c>
      <c r="B55" s="18">
        <v>0.5775</v>
      </c>
      <c r="C55" s="18">
        <v>1.1315</v>
      </c>
      <c r="D55" s="16">
        <v>28965.23</v>
      </c>
      <c r="E55" s="18">
        <v>0.9024</v>
      </c>
      <c r="F55" s="18">
        <v>0.0814</v>
      </c>
      <c r="G55" s="16">
        <v>3012405.01</v>
      </c>
      <c r="H55" s="16">
        <v>3614879.6</v>
      </c>
      <c r="I55" s="7" t="s">
        <v>125</v>
      </c>
    </row>
    <row r="56" ht="15" customHeight="1">
      <c r="A56" s="8">
        <v>54</v>
      </c>
      <c r="B56" s="19">
        <v>0.597</v>
      </c>
      <c r="C56" s="19">
        <v>1.1704</v>
      </c>
      <c r="D56" s="17">
        <v>27489.99</v>
      </c>
      <c r="E56" s="19">
        <v>0.8707</v>
      </c>
      <c r="F56" s="19">
        <v>0.1259</v>
      </c>
      <c r="G56" s="17">
        <v>3458002.88</v>
      </c>
      <c r="H56" s="17">
        <v>4156478.72</v>
      </c>
      <c r="I56" s="8" t="s">
        <v>125</v>
      </c>
    </row>
    <row r="57" ht="15" customHeight="1">
      <c r="A57" s="7">
        <v>55</v>
      </c>
      <c r="B57" s="18">
        <v>0.5747</v>
      </c>
      <c r="C57" s="18">
        <v>1.0303</v>
      </c>
      <c r="D57" s="16">
        <v>28374.4</v>
      </c>
      <c r="E57" s="18">
        <v>0.863</v>
      </c>
      <c r="F57" s="18">
        <v>0.1267</v>
      </c>
      <c r="G57" s="16">
        <v>2689962.38</v>
      </c>
      <c r="H57" s="16">
        <v>3249960.34</v>
      </c>
      <c r="I57" s="7" t="s">
        <v>125</v>
      </c>
    </row>
    <row r="58" ht="15" customHeight="1">
      <c r="A58" s="8">
        <v>56</v>
      </c>
      <c r="B58" s="19">
        <v>0.6803</v>
      </c>
      <c r="C58" s="19">
        <v>1.1421</v>
      </c>
      <c r="D58" s="17">
        <v>25676.93</v>
      </c>
      <c r="E58" s="19">
        <v>0.9504</v>
      </c>
      <c r="F58" s="19">
        <v>0.1481</v>
      </c>
      <c r="G58" s="17">
        <v>4674289.37</v>
      </c>
      <c r="H58" s="17">
        <v>5602797.03</v>
      </c>
      <c r="I58" s="8" t="s">
        <v>125</v>
      </c>
    </row>
    <row r="59" ht="15" customHeight="1">
      <c r="A59" s="7">
        <v>57</v>
      </c>
      <c r="B59" s="18">
        <v>0.362</v>
      </c>
      <c r="C59" s="18">
        <v>0.7492</v>
      </c>
      <c r="D59" s="16">
        <v>25227.85</v>
      </c>
      <c r="E59" s="18">
        <v>0.8613</v>
      </c>
      <c r="F59" s="18">
        <v>0.072</v>
      </c>
      <c r="G59" s="16">
        <v>537987.65</v>
      </c>
      <c r="H59" s="16">
        <v>699648.93</v>
      </c>
      <c r="I59" s="7" t="s">
        <v>125</v>
      </c>
    </row>
    <row r="60" ht="15" customHeight="1">
      <c r="A60" s="8">
        <v>58</v>
      </c>
      <c r="B60" s="19">
        <v>0.6404</v>
      </c>
      <c r="C60" s="19">
        <v>1.3484</v>
      </c>
      <c r="D60" s="17">
        <v>30543.27</v>
      </c>
      <c r="E60" s="19">
        <v>0.9372</v>
      </c>
      <c r="F60" s="19">
        <v>0.1637</v>
      </c>
      <c r="G60" s="17">
        <v>5211880.54</v>
      </c>
      <c r="H60" s="17">
        <v>6248654.36</v>
      </c>
      <c r="I60" s="8" t="s">
        <v>125</v>
      </c>
    </row>
    <row r="61" ht="15" customHeight="1">
      <c r="A61" s="7">
        <v>59</v>
      </c>
      <c r="B61" s="18">
        <v>0.508</v>
      </c>
      <c r="C61" s="18">
        <v>1.0694</v>
      </c>
      <c r="D61" s="16">
        <v>29914.65</v>
      </c>
      <c r="E61" s="18">
        <v>0.8331</v>
      </c>
      <c r="F61" s="18">
        <v>0.0408</v>
      </c>
      <c r="G61" s="16">
        <v>1821766.13</v>
      </c>
      <c r="H61" s="16">
        <v>2202494.56</v>
      </c>
      <c r="I61" s="7" t="s">
        <v>125</v>
      </c>
    </row>
    <row r="62" ht="15" customHeight="1">
      <c r="A62" s="8">
        <v>60</v>
      </c>
      <c r="B62" s="19">
        <v>0.4992</v>
      </c>
      <c r="C62" s="19">
        <v>0.9949</v>
      </c>
      <c r="D62" s="17">
        <v>30172.4</v>
      </c>
      <c r="E62" s="19">
        <v>0.928</v>
      </c>
      <c r="F62" s="19">
        <v>0.1276</v>
      </c>
      <c r="G62" s="17">
        <v>2255641.18</v>
      </c>
      <c r="H62" s="17">
        <v>2737886.09</v>
      </c>
      <c r="I62" s="8" t="s">
        <v>125</v>
      </c>
    </row>
    <row r="63" ht="15" customHeight="1">
      <c r="A63" s="7">
        <v>61</v>
      </c>
      <c r="B63" s="18">
        <v>0.3536</v>
      </c>
      <c r="C63" s="18">
        <v>1.0484</v>
      </c>
      <c r="D63" s="16">
        <v>39028.83</v>
      </c>
      <c r="E63" s="18">
        <v>0.959</v>
      </c>
      <c r="F63" s="18">
        <v>0.1324</v>
      </c>
      <c r="G63" s="16">
        <v>1192013.83</v>
      </c>
      <c r="H63" s="16">
        <v>1485687.06</v>
      </c>
      <c r="I63" s="7" t="s">
        <v>125</v>
      </c>
    </row>
    <row r="64" ht="15" customHeight="1">
      <c r="A64" s="8">
        <v>62</v>
      </c>
      <c r="B64" s="19">
        <v>0.403</v>
      </c>
      <c r="C64" s="19">
        <v>1.1534</v>
      </c>
      <c r="D64" s="17">
        <v>27896.67</v>
      </c>
      <c r="E64" s="19">
        <v>0.9134</v>
      </c>
      <c r="F64" s="19">
        <v>0.07</v>
      </c>
      <c r="G64" s="17">
        <v>1808770.53</v>
      </c>
      <c r="H64" s="17">
        <v>2194712.63</v>
      </c>
      <c r="I64" s="8" t="s">
        <v>125</v>
      </c>
    </row>
    <row r="65" ht="15" customHeight="1">
      <c r="A65" s="7">
        <v>63</v>
      </c>
      <c r="B65" s="18">
        <v>0.3618</v>
      </c>
      <c r="C65" s="18">
        <v>0.7559</v>
      </c>
      <c r="D65" s="16">
        <v>32371.41</v>
      </c>
      <c r="E65" s="18">
        <v>0.8584</v>
      </c>
      <c r="F65" s="18">
        <v>0.0628</v>
      </c>
      <c r="G65" s="16">
        <v>305856.81</v>
      </c>
      <c r="H65" s="16">
        <v>426646.5</v>
      </c>
      <c r="I65" s="7" t="s">
        <v>125</v>
      </c>
    </row>
    <row r="66" ht="15" customHeight="1">
      <c r="A66" s="8">
        <v>64</v>
      </c>
      <c r="B66" s="19">
        <v>0.6964</v>
      </c>
      <c r="C66" s="19">
        <v>1.0393</v>
      </c>
      <c r="D66" s="17">
        <v>27902.82</v>
      </c>
      <c r="E66" s="19">
        <v>0.8342</v>
      </c>
      <c r="F66" s="19">
        <v>0.0734</v>
      </c>
      <c r="G66" s="17">
        <v>3100533.37</v>
      </c>
      <c r="H66" s="17">
        <v>3715466.85</v>
      </c>
      <c r="I66" s="8" t="s">
        <v>125</v>
      </c>
    </row>
    <row r="67" ht="15" customHeight="1">
      <c r="A67" s="7">
        <v>65</v>
      </c>
      <c r="B67" s="18">
        <v>0.8064</v>
      </c>
      <c r="C67" s="18">
        <v>1.1787</v>
      </c>
      <c r="D67" s="16">
        <v>25148.53</v>
      </c>
      <c r="E67" s="18">
        <v>0.8267</v>
      </c>
      <c r="F67" s="18">
        <v>0.1131</v>
      </c>
      <c r="G67" s="16">
        <v>4788235.22</v>
      </c>
      <c r="H67" s="16">
        <v>5720475.42</v>
      </c>
      <c r="I67" s="7" t="s">
        <v>125</v>
      </c>
    </row>
    <row r="68" ht="15" customHeight="1">
      <c r="A68" s="8">
        <v>66</v>
      </c>
      <c r="B68" s="19">
        <v>0.7116</v>
      </c>
      <c r="C68" s="19">
        <v>1.0833</v>
      </c>
      <c r="D68" s="17">
        <v>26396.91</v>
      </c>
      <c r="E68" s="19">
        <v>0.8973</v>
      </c>
      <c r="F68" s="19">
        <v>0.096</v>
      </c>
      <c r="G68" s="17">
        <v>3925755.96</v>
      </c>
      <c r="H68" s="17">
        <v>4695901.1</v>
      </c>
      <c r="I68" s="8" t="s">
        <v>125</v>
      </c>
    </row>
    <row r="69" ht="15" customHeight="1">
      <c r="A69" s="7">
        <v>67</v>
      </c>
      <c r="B69" s="18">
        <v>0.6498</v>
      </c>
      <c r="C69" s="18">
        <v>0.8929</v>
      </c>
      <c r="D69" s="16">
        <v>29130.28</v>
      </c>
      <c r="E69" s="18">
        <v>0.9545</v>
      </c>
      <c r="F69" s="18">
        <v>0.0854</v>
      </c>
      <c r="G69" s="16">
        <v>2770578.25</v>
      </c>
      <c r="H69" s="16">
        <v>3331611.37</v>
      </c>
      <c r="I69" s="7" t="s">
        <v>125</v>
      </c>
    </row>
    <row r="70" ht="15" customHeight="1">
      <c r="A70" s="8">
        <v>68</v>
      </c>
      <c r="B70" s="19">
        <v>0.8119</v>
      </c>
      <c r="C70" s="19">
        <v>1.1897</v>
      </c>
      <c r="D70" s="17">
        <v>36274.4</v>
      </c>
      <c r="E70" s="19">
        <v>0.9406</v>
      </c>
      <c r="F70" s="19">
        <v>0.1466</v>
      </c>
      <c r="G70" s="17">
        <v>5673604.54</v>
      </c>
      <c r="H70" s="17">
        <v>6788060.35</v>
      </c>
      <c r="I70" s="8" t="s">
        <v>125</v>
      </c>
    </row>
    <row r="71" ht="15" customHeight="1">
      <c r="A71" s="7">
        <v>69</v>
      </c>
      <c r="B71" s="18">
        <v>0.7144</v>
      </c>
      <c r="C71" s="18">
        <v>0.8301</v>
      </c>
      <c r="D71" s="16">
        <v>29604.99</v>
      </c>
      <c r="E71" s="18">
        <v>0.8264</v>
      </c>
      <c r="F71" s="18">
        <v>0.0996</v>
      </c>
      <c r="G71" s="16">
        <v>2360812.61</v>
      </c>
      <c r="H71" s="16">
        <v>2853501.94</v>
      </c>
      <c r="I71" s="7" t="s">
        <v>125</v>
      </c>
    </row>
    <row r="72" ht="15" customHeight="1">
      <c r="A72" s="8">
        <v>70</v>
      </c>
      <c r="B72" s="19">
        <v>0.4552</v>
      </c>
      <c r="C72" s="19">
        <v>0.9226</v>
      </c>
      <c r="D72" s="17">
        <v>21796.63</v>
      </c>
      <c r="E72" s="19">
        <v>0.8783</v>
      </c>
      <c r="F72" s="19">
        <v>0.056</v>
      </c>
      <c r="G72" s="17">
        <v>1551497.13</v>
      </c>
      <c r="H72" s="17">
        <v>1887776.97</v>
      </c>
      <c r="I72" s="8" t="s">
        <v>125</v>
      </c>
    </row>
    <row r="73" ht="15" customHeight="1">
      <c r="A73" s="7">
        <v>71</v>
      </c>
      <c r="B73" s="18">
        <v>0.6205</v>
      </c>
      <c r="C73" s="18">
        <v>1.0339</v>
      </c>
      <c r="D73" s="16">
        <v>33580.47</v>
      </c>
      <c r="E73" s="18">
        <v>0.9207</v>
      </c>
      <c r="F73" s="18">
        <v>0.1052</v>
      </c>
      <c r="G73" s="16">
        <v>3014465.52</v>
      </c>
      <c r="H73" s="16">
        <v>3627173.16</v>
      </c>
      <c r="I73" s="7" t="s">
        <v>125</v>
      </c>
    </row>
    <row r="74" ht="15" customHeight="1">
      <c r="A74" s="8">
        <v>72</v>
      </c>
      <c r="B74" s="19">
        <v>0.8246</v>
      </c>
      <c r="C74" s="19">
        <v>0.9072</v>
      </c>
      <c r="D74" s="17">
        <v>27105.92</v>
      </c>
      <c r="E74" s="19">
        <v>0.9424</v>
      </c>
      <c r="F74" s="19">
        <v>0.1495</v>
      </c>
      <c r="G74" s="17">
        <v>4376955.25</v>
      </c>
      <c r="H74" s="17">
        <v>5252297.41</v>
      </c>
      <c r="I74" s="8" t="s">
        <v>125</v>
      </c>
    </row>
    <row r="75" ht="15" customHeight="1">
      <c r="A75" s="7">
        <v>73</v>
      </c>
      <c r="B75" s="18">
        <v>0.7269</v>
      </c>
      <c r="C75" s="18">
        <v>0.8209</v>
      </c>
      <c r="D75" s="16">
        <v>32331.68</v>
      </c>
      <c r="E75" s="18">
        <v>0.8936</v>
      </c>
      <c r="F75" s="18">
        <v>0.158</v>
      </c>
      <c r="G75" s="16">
        <v>2908141.01</v>
      </c>
      <c r="H75" s="16">
        <v>3519755.21</v>
      </c>
      <c r="I75" s="7" t="s">
        <v>125</v>
      </c>
    </row>
    <row r="76" ht="15" customHeight="1">
      <c r="A76" s="8">
        <v>74</v>
      </c>
      <c r="B76" s="19">
        <v>0.6214</v>
      </c>
      <c r="C76" s="19">
        <v>0.9293</v>
      </c>
      <c r="D76" s="17">
        <v>27781.69</v>
      </c>
      <c r="E76" s="19">
        <v>0.9186</v>
      </c>
      <c r="F76" s="19">
        <v>0.0301</v>
      </c>
      <c r="G76" s="17">
        <v>2366934.87</v>
      </c>
      <c r="H76" s="17">
        <v>2838767.81</v>
      </c>
      <c r="I76" s="8" t="s">
        <v>125</v>
      </c>
    </row>
    <row r="77" ht="15" customHeight="1">
      <c r="A77" s="7">
        <v>75</v>
      </c>
      <c r="B77" s="18">
        <v>0.803</v>
      </c>
      <c r="C77" s="18">
        <v>1.2371</v>
      </c>
      <c r="D77" s="16">
        <v>29822.26</v>
      </c>
      <c r="E77" s="18">
        <v>0.9314</v>
      </c>
      <c r="F77" s="18">
        <v>0.1313</v>
      </c>
      <c r="G77" s="16">
        <v>5860992.56</v>
      </c>
      <c r="H77" s="16">
        <v>6998352.44</v>
      </c>
      <c r="I77" s="7" t="s">
        <v>125</v>
      </c>
    </row>
    <row r="78" ht="15" customHeight="1">
      <c r="A78" s="8">
        <v>76</v>
      </c>
      <c r="B78" s="19">
        <v>0.5686</v>
      </c>
      <c r="C78" s="19">
        <v>0.8003</v>
      </c>
      <c r="D78" s="17">
        <v>37757.09</v>
      </c>
      <c r="E78" s="19">
        <v>0.845</v>
      </c>
      <c r="F78" s="19">
        <v>0.1077</v>
      </c>
      <c r="G78" s="17">
        <v>1360718.25</v>
      </c>
      <c r="H78" s="17">
        <v>1678720.18</v>
      </c>
      <c r="I78" s="8" t="s">
        <v>125</v>
      </c>
    </row>
    <row r="79" ht="15" customHeight="1">
      <c r="A79" s="7">
        <v>77</v>
      </c>
      <c r="B79" s="18">
        <v>0.4213</v>
      </c>
      <c r="C79" s="18">
        <v>1.1061</v>
      </c>
      <c r="D79" s="16">
        <v>26005.69</v>
      </c>
      <c r="E79" s="18">
        <v>0.8737</v>
      </c>
      <c r="F79" s="18">
        <v>0.0978</v>
      </c>
      <c r="G79" s="16">
        <v>1851908.13</v>
      </c>
      <c r="H79" s="16">
        <v>2252181.62</v>
      </c>
      <c r="I79" s="7" t="s">
        <v>125</v>
      </c>
    </row>
    <row r="80" ht="15" customHeight="1">
      <c r="A80" s="8">
        <v>78</v>
      </c>
      <c r="B80" s="19">
        <v>0.5707</v>
      </c>
      <c r="C80" s="19">
        <v>1.0796</v>
      </c>
      <c r="D80" s="17">
        <v>30538.63</v>
      </c>
      <c r="E80" s="19">
        <v>0.9066</v>
      </c>
      <c r="F80" s="19">
        <v>0.0111</v>
      </c>
      <c r="G80" s="17">
        <v>2374994.74</v>
      </c>
      <c r="H80" s="17">
        <v>2842192.77</v>
      </c>
      <c r="I80" s="8" t="s">
        <v>125</v>
      </c>
    </row>
    <row r="81" ht="15" customHeight="1">
      <c r="A81" s="7">
        <v>79</v>
      </c>
      <c r="B81" s="18">
        <v>0.4852</v>
      </c>
      <c r="C81" s="18">
        <v>0.6452</v>
      </c>
      <c r="D81" s="16">
        <v>22865.5</v>
      </c>
      <c r="E81" s="18">
        <v>0.8722</v>
      </c>
      <c r="F81" s="18">
        <v>0.0407</v>
      </c>
      <c r="G81" s="16">
        <v>811661.28</v>
      </c>
      <c r="H81" s="16">
        <v>1016076.44</v>
      </c>
      <c r="I81" s="7" t="s">
        <v>125</v>
      </c>
    </row>
    <row r="82" ht="15" customHeight="1">
      <c r="A82" s="8">
        <v>80</v>
      </c>
      <c r="B82" s="19">
        <v>0.7597</v>
      </c>
      <c r="C82" s="19">
        <v>0.8916</v>
      </c>
      <c r="D82" s="17">
        <v>27034.89</v>
      </c>
      <c r="E82" s="19">
        <v>0.9424</v>
      </c>
      <c r="F82" s="19">
        <v>0.0675</v>
      </c>
      <c r="G82" s="17">
        <v>3338790.07</v>
      </c>
      <c r="H82" s="17">
        <v>3993327.92</v>
      </c>
      <c r="I82" s="8" t="s">
        <v>125</v>
      </c>
    </row>
    <row r="83" ht="15" customHeight="1">
      <c r="A83" s="7">
        <v>81</v>
      </c>
      <c r="B83" s="18">
        <v>0.5737</v>
      </c>
      <c r="C83" s="18">
        <v>0.9437</v>
      </c>
      <c r="D83" s="16">
        <v>25754.71</v>
      </c>
      <c r="E83" s="18">
        <v>0.836</v>
      </c>
      <c r="F83" s="18">
        <v>-0.0048</v>
      </c>
      <c r="G83" s="16">
        <v>1762260.01</v>
      </c>
      <c r="H83" s="16">
        <v>2120246.86</v>
      </c>
      <c r="I83" s="7" t="s">
        <v>125</v>
      </c>
    </row>
    <row r="84" ht="15" customHeight="1">
      <c r="A84" s="8">
        <v>82</v>
      </c>
      <c r="B84" s="19">
        <v>0.6432</v>
      </c>
      <c r="C84" s="19">
        <v>1.091</v>
      </c>
      <c r="D84" s="17">
        <v>32815.49</v>
      </c>
      <c r="E84" s="19">
        <v>0.8619</v>
      </c>
      <c r="F84" s="19">
        <v>0.1487</v>
      </c>
      <c r="G84" s="17">
        <v>3406142.76</v>
      </c>
      <c r="H84" s="17">
        <v>4105832.61</v>
      </c>
      <c r="I84" s="8" t="s">
        <v>125</v>
      </c>
    </row>
    <row r="85" ht="15" customHeight="1">
      <c r="A85" s="7">
        <v>83</v>
      </c>
      <c r="B85" s="18">
        <v>0.5338</v>
      </c>
      <c r="C85" s="18">
        <v>1.1214</v>
      </c>
      <c r="D85" s="16">
        <v>36327.83</v>
      </c>
      <c r="E85" s="18">
        <v>0.8071</v>
      </c>
      <c r="F85" s="18">
        <v>0.0744</v>
      </c>
      <c r="G85" s="16">
        <v>1984809.62</v>
      </c>
      <c r="H85" s="16">
        <v>2404680.15</v>
      </c>
      <c r="I85" s="7" t="s">
        <v>125</v>
      </c>
    </row>
    <row r="86" ht="15" customHeight="1">
      <c r="A86" s="8">
        <v>84</v>
      </c>
      <c r="B86" s="19">
        <v>0.5795</v>
      </c>
      <c r="C86" s="19">
        <v>0.753</v>
      </c>
      <c r="D86" s="17">
        <v>26965.9</v>
      </c>
      <c r="E86" s="19">
        <v>0.8144</v>
      </c>
      <c r="F86" s="19">
        <v>0.1972</v>
      </c>
      <c r="G86" s="17">
        <v>1800181.96</v>
      </c>
      <c r="H86" s="17">
        <v>2215305.02</v>
      </c>
      <c r="I86" s="8" t="s">
        <v>125</v>
      </c>
    </row>
    <row r="87" ht="15" customHeight="1">
      <c r="A87" s="7">
        <v>85</v>
      </c>
      <c r="B87" s="18">
        <v>0.3682</v>
      </c>
      <c r="C87" s="18">
        <v>0.991</v>
      </c>
      <c r="D87" s="16">
        <v>27542.54</v>
      </c>
      <c r="E87" s="18">
        <v>0.9447</v>
      </c>
      <c r="F87" s="18">
        <v>0.0261</v>
      </c>
      <c r="G87" s="16">
        <v>1110625.86</v>
      </c>
      <c r="H87" s="16">
        <v>1364502.91</v>
      </c>
      <c r="I87" s="7" t="s">
        <v>125</v>
      </c>
    </row>
    <row r="88" ht="15" customHeight="1">
      <c r="A88" s="8">
        <v>86</v>
      </c>
      <c r="B88" s="19">
        <v>0.6603</v>
      </c>
      <c r="C88" s="19">
        <v>1.0269</v>
      </c>
      <c r="D88" s="17">
        <v>36260.28</v>
      </c>
      <c r="E88" s="19">
        <v>0.8623</v>
      </c>
      <c r="F88" s="19">
        <v>0.1161</v>
      </c>
      <c r="G88" s="17">
        <v>2950188.69</v>
      </c>
      <c r="H88" s="17">
        <v>3556128.45</v>
      </c>
      <c r="I88" s="8" t="s">
        <v>125</v>
      </c>
    </row>
    <row r="89" ht="15" customHeight="1">
      <c r="A89" s="7">
        <v>87</v>
      </c>
      <c r="B89" s="18">
        <v>0.4145</v>
      </c>
      <c r="C89" s="18">
        <v>1.2031</v>
      </c>
      <c r="D89" s="16">
        <v>29488.83</v>
      </c>
      <c r="E89" s="18">
        <v>0.8967</v>
      </c>
      <c r="F89" s="18">
        <v>0.0944</v>
      </c>
      <c r="G89" s="16">
        <v>2024819.98</v>
      </c>
      <c r="H89" s="16">
        <v>2455957</v>
      </c>
      <c r="I89" s="7" t="s">
        <v>125</v>
      </c>
    </row>
    <row r="90" ht="15" customHeight="1">
      <c r="A90" s="8">
        <v>88</v>
      </c>
      <c r="B90" s="19">
        <v>0.5853</v>
      </c>
      <c r="C90" s="19">
        <v>1.341</v>
      </c>
      <c r="D90" s="17">
        <v>31051.38</v>
      </c>
      <c r="E90" s="19">
        <v>0.8325</v>
      </c>
      <c r="F90" s="19">
        <v>0.0704</v>
      </c>
      <c r="G90" s="17">
        <v>3340303.86</v>
      </c>
      <c r="H90" s="17">
        <v>3997019.88</v>
      </c>
      <c r="I90" s="8" t="s">
        <v>125</v>
      </c>
    </row>
    <row r="91" ht="15" customHeight="1">
      <c r="A91" s="7">
        <v>89</v>
      </c>
      <c r="B91" s="18">
        <v>0.646</v>
      </c>
      <c r="C91" s="18">
        <v>1.1211</v>
      </c>
      <c r="D91" s="16">
        <v>35436.72</v>
      </c>
      <c r="E91" s="18">
        <v>0.8745</v>
      </c>
      <c r="F91" s="18">
        <v>0.1722</v>
      </c>
      <c r="G91" s="16">
        <v>3703968.4</v>
      </c>
      <c r="H91" s="16">
        <v>4468771.19</v>
      </c>
      <c r="I91" s="7" t="s">
        <v>125</v>
      </c>
    </row>
    <row r="92" ht="15" customHeight="1">
      <c r="A92" s="8">
        <v>90</v>
      </c>
      <c r="B92" s="19">
        <v>0.5277</v>
      </c>
      <c r="C92" s="19">
        <v>0.8667</v>
      </c>
      <c r="D92" s="17">
        <v>26175.82</v>
      </c>
      <c r="E92" s="19">
        <v>0.8365</v>
      </c>
      <c r="F92" s="19">
        <v>0.0757</v>
      </c>
      <c r="G92" s="17">
        <v>1583915.77</v>
      </c>
      <c r="H92" s="17">
        <v>1931219.03</v>
      </c>
      <c r="I92" s="8" t="s">
        <v>125</v>
      </c>
    </row>
    <row r="93" ht="15" customHeight="1">
      <c r="A93" s="7">
        <v>91</v>
      </c>
      <c r="B93" s="18">
        <v>0.7001</v>
      </c>
      <c r="C93" s="18">
        <v>1.2707</v>
      </c>
      <c r="D93" s="16">
        <v>34469.99</v>
      </c>
      <c r="E93" s="18">
        <v>0.865</v>
      </c>
      <c r="F93" s="18">
        <v>0.0809</v>
      </c>
      <c r="G93" s="16">
        <v>4137942.15</v>
      </c>
      <c r="H93" s="16">
        <v>4940961.67</v>
      </c>
      <c r="I93" s="7" t="s">
        <v>125</v>
      </c>
    </row>
    <row r="94" ht="15" customHeight="1">
      <c r="A94" s="8">
        <v>92</v>
      </c>
      <c r="B94" s="19">
        <v>0.7092</v>
      </c>
      <c r="C94" s="19">
        <v>0.7778</v>
      </c>
      <c r="D94" s="17">
        <v>29837.73</v>
      </c>
      <c r="E94" s="19">
        <v>0.9041</v>
      </c>
      <c r="F94" s="19">
        <v>0.082</v>
      </c>
      <c r="G94" s="17">
        <v>2333234.8</v>
      </c>
      <c r="H94" s="17">
        <v>2815710.38</v>
      </c>
      <c r="I94" s="8" t="s">
        <v>125</v>
      </c>
    </row>
    <row r="95" ht="15" customHeight="1">
      <c r="A95" s="7">
        <v>93</v>
      </c>
      <c r="B95" s="18">
        <v>0.6828</v>
      </c>
      <c r="C95" s="18">
        <v>0.9493</v>
      </c>
      <c r="D95" s="16">
        <v>28378.2</v>
      </c>
      <c r="E95" s="18">
        <v>0.9695</v>
      </c>
      <c r="F95" s="18">
        <v>0.0867</v>
      </c>
      <c r="G95" s="16">
        <v>3342922.78</v>
      </c>
      <c r="H95" s="16">
        <v>4005942.17</v>
      </c>
      <c r="I95" s="7" t="s">
        <v>125</v>
      </c>
    </row>
    <row r="96" ht="15" customHeight="1">
      <c r="A96" s="8">
        <v>94</v>
      </c>
      <c r="B96" s="19">
        <v>0.4111</v>
      </c>
      <c r="C96" s="19">
        <v>1.161</v>
      </c>
      <c r="D96" s="17">
        <v>28311.76</v>
      </c>
      <c r="E96" s="19">
        <v>0.9206</v>
      </c>
      <c r="F96" s="19">
        <v>0.0702</v>
      </c>
      <c r="G96" s="17">
        <v>1902017.38</v>
      </c>
      <c r="H96" s="17">
        <v>2304526.96</v>
      </c>
      <c r="I96" s="8" t="s">
        <v>125</v>
      </c>
    </row>
    <row r="97" ht="15" customHeight="1">
      <c r="A97" s="7">
        <v>95</v>
      </c>
      <c r="B97" s="18">
        <v>0.6788</v>
      </c>
      <c r="C97" s="18">
        <v>0.9772</v>
      </c>
      <c r="D97" s="16">
        <v>23120.48</v>
      </c>
      <c r="E97" s="18">
        <v>0.8352</v>
      </c>
      <c r="F97" s="18">
        <v>0.1816</v>
      </c>
      <c r="G97" s="16">
        <v>3491636.4</v>
      </c>
      <c r="H97" s="16">
        <v>4215008.83</v>
      </c>
      <c r="I97" s="7" t="s">
        <v>125</v>
      </c>
    </row>
    <row r="98" ht="15" customHeight="1">
      <c r="A98" s="8">
        <v>96</v>
      </c>
      <c r="B98" s="19">
        <v>0.7838</v>
      </c>
      <c r="C98" s="19">
        <v>1.3117</v>
      </c>
      <c r="D98" s="17">
        <v>32315.58</v>
      </c>
      <c r="E98" s="19">
        <v>0.8626</v>
      </c>
      <c r="F98" s="19">
        <v>0.1111</v>
      </c>
      <c r="G98" s="17">
        <v>5309480.99</v>
      </c>
      <c r="H98" s="17">
        <v>6336562.52</v>
      </c>
      <c r="I98" s="8" t="s">
        <v>125</v>
      </c>
    </row>
    <row r="99" ht="15" customHeight="1">
      <c r="A99" s="7">
        <v>97</v>
      </c>
      <c r="B99" s="18">
        <v>0.3938</v>
      </c>
      <c r="C99" s="18">
        <v>0.7638</v>
      </c>
      <c r="D99" s="16">
        <v>28718.92</v>
      </c>
      <c r="E99" s="18">
        <v>0.9269</v>
      </c>
      <c r="F99" s="18">
        <v>0.1247</v>
      </c>
      <c r="G99" s="16">
        <v>895531.25</v>
      </c>
      <c r="H99" s="16">
        <v>1130410.87</v>
      </c>
      <c r="I99" s="7" t="s">
        <v>125</v>
      </c>
    </row>
    <row r="100" ht="15" customHeight="1">
      <c r="A100" s="8">
        <v>98</v>
      </c>
      <c r="B100" s="19">
        <v>0.7378</v>
      </c>
      <c r="C100" s="19">
        <v>0.8738</v>
      </c>
      <c r="D100" s="17">
        <v>30730.16</v>
      </c>
      <c r="E100" s="19">
        <v>0.9341</v>
      </c>
      <c r="F100" s="19">
        <v>0.0099</v>
      </c>
      <c r="G100" s="17">
        <v>2649109.33</v>
      </c>
      <c r="H100" s="17">
        <v>3162780.54</v>
      </c>
      <c r="I100" s="8" t="s">
        <v>125</v>
      </c>
    </row>
    <row r="101" ht="15" customHeight="1">
      <c r="A101" s="7">
        <v>99</v>
      </c>
      <c r="B101" s="18">
        <v>0.6454</v>
      </c>
      <c r="C101" s="18">
        <v>0.9814</v>
      </c>
      <c r="D101" s="16">
        <v>33554.91</v>
      </c>
      <c r="E101" s="18">
        <v>0.9281</v>
      </c>
      <c r="F101" s="18">
        <v>0.1733</v>
      </c>
      <c r="G101" s="16">
        <v>3398633.46</v>
      </c>
      <c r="H101" s="16">
        <v>4106608.91</v>
      </c>
      <c r="I101" s="7" t="s">
        <v>125</v>
      </c>
    </row>
    <row r="102" ht="15" customHeight="1">
      <c r="A102" s="8">
        <v>100</v>
      </c>
      <c r="B102" s="19">
        <v>0.7266</v>
      </c>
      <c r="C102" s="19">
        <v>0.8287</v>
      </c>
      <c r="D102" s="17">
        <v>30600.34</v>
      </c>
      <c r="E102" s="19">
        <v>0.9006</v>
      </c>
      <c r="F102" s="19">
        <v>0.1412</v>
      </c>
      <c r="G102" s="17">
        <v>2939806.24</v>
      </c>
      <c r="H102" s="17">
        <v>3550794.89</v>
      </c>
      <c r="I102" s="8" t="s">
        <v>125</v>
      </c>
    </row>
    <row r="103" ht="15" customHeight="1">
      <c r="A103" s="7">
        <v>101</v>
      </c>
      <c r="B103" s="18">
        <v>0.7266</v>
      </c>
      <c r="C103" s="18">
        <v>1.2699</v>
      </c>
      <c r="D103" s="16">
        <v>30571.19</v>
      </c>
      <c r="E103" s="18">
        <v>0.9027</v>
      </c>
      <c r="F103" s="18">
        <v>0.0745</v>
      </c>
      <c r="G103" s="16">
        <v>4663921.16</v>
      </c>
      <c r="H103" s="16">
        <v>5556058.5</v>
      </c>
      <c r="I103" s="7" t="s">
        <v>125</v>
      </c>
    </row>
    <row r="104" ht="15" customHeight="1">
      <c r="A104" s="8">
        <v>102</v>
      </c>
      <c r="B104" s="19">
        <v>0.4335</v>
      </c>
      <c r="C104" s="19">
        <v>1.0398</v>
      </c>
      <c r="D104" s="17">
        <v>33126.46</v>
      </c>
      <c r="E104" s="19">
        <v>0.9388</v>
      </c>
      <c r="F104" s="19">
        <v>0.0959</v>
      </c>
      <c r="G104" s="17">
        <v>1742969.35</v>
      </c>
      <c r="H104" s="17">
        <v>2125162.41</v>
      </c>
      <c r="I104" s="8" t="s">
        <v>125</v>
      </c>
    </row>
    <row r="105" ht="15" customHeight="1">
      <c r="A105" s="7">
        <v>103</v>
      </c>
      <c r="B105" s="18">
        <v>0.5408</v>
      </c>
      <c r="C105" s="18">
        <v>1.1465</v>
      </c>
      <c r="D105" s="16">
        <v>29406.14</v>
      </c>
      <c r="E105" s="18">
        <v>0.9237</v>
      </c>
      <c r="F105" s="18">
        <v>0.1433</v>
      </c>
      <c r="G105" s="16">
        <v>3226994.08</v>
      </c>
      <c r="H105" s="16">
        <v>3890643.34</v>
      </c>
      <c r="I105" s="7" t="s">
        <v>125</v>
      </c>
    </row>
    <row r="106" ht="15" customHeight="1">
      <c r="A106" s="8">
        <v>104</v>
      </c>
      <c r="B106" s="19">
        <v>0.7679</v>
      </c>
      <c r="C106" s="19">
        <v>1.3335</v>
      </c>
      <c r="D106" s="17">
        <v>31577.23</v>
      </c>
      <c r="E106" s="19">
        <v>0.8568</v>
      </c>
      <c r="F106" s="19">
        <v>0.0798</v>
      </c>
      <c r="G106" s="17">
        <v>4994817.64</v>
      </c>
      <c r="H106" s="17">
        <v>5948483.15</v>
      </c>
      <c r="I106" s="8" t="s">
        <v>125</v>
      </c>
    </row>
    <row r="107" ht="15" customHeight="1">
      <c r="A107" s="7">
        <v>105</v>
      </c>
      <c r="B107" s="18">
        <v>0.7936</v>
      </c>
      <c r="C107" s="18">
        <v>0.6725</v>
      </c>
      <c r="D107" s="16">
        <v>28354.9</v>
      </c>
      <c r="E107" s="18">
        <v>0.9744</v>
      </c>
      <c r="F107" s="18">
        <v>0.0657</v>
      </c>
      <c r="G107" s="16">
        <v>2451496.7</v>
      </c>
      <c r="H107" s="16">
        <v>2949481.54</v>
      </c>
      <c r="I107" s="7" t="s">
        <v>125</v>
      </c>
    </row>
    <row r="108" ht="15" customHeight="1">
      <c r="A108" s="8">
        <v>106</v>
      </c>
      <c r="B108" s="19">
        <v>0.5499</v>
      </c>
      <c r="C108" s="19">
        <v>1.2506</v>
      </c>
      <c r="D108" s="17">
        <v>24781.35</v>
      </c>
      <c r="E108" s="19">
        <v>0.8992</v>
      </c>
      <c r="F108" s="19">
        <v>0.154</v>
      </c>
      <c r="G108" s="17">
        <v>3793348.83</v>
      </c>
      <c r="H108" s="17">
        <v>4562775.72</v>
      </c>
      <c r="I108" s="8" t="s">
        <v>125</v>
      </c>
    </row>
    <row r="109" ht="15" customHeight="1">
      <c r="A109" s="7">
        <v>107</v>
      </c>
      <c r="B109" s="18">
        <v>0.6768</v>
      </c>
      <c r="C109" s="18">
        <v>1.008</v>
      </c>
      <c r="D109" s="16">
        <v>30672.32</v>
      </c>
      <c r="E109" s="18">
        <v>0.8478</v>
      </c>
      <c r="F109" s="18">
        <v>0.0886</v>
      </c>
      <c r="G109" s="16">
        <v>2919493.67</v>
      </c>
      <c r="H109" s="16">
        <v>3508458.79</v>
      </c>
      <c r="I109" s="7" t="s">
        <v>125</v>
      </c>
    </row>
    <row r="110" ht="15" customHeight="1">
      <c r="A110" s="8">
        <v>108</v>
      </c>
      <c r="B110" s="19">
        <v>0.6467</v>
      </c>
      <c r="C110" s="19">
        <v>1.1375</v>
      </c>
      <c r="D110" s="17">
        <v>30856.06</v>
      </c>
      <c r="E110" s="19">
        <v>0.7927</v>
      </c>
      <c r="F110" s="19">
        <v>0.0774</v>
      </c>
      <c r="G110" s="17">
        <v>2885023.9</v>
      </c>
      <c r="H110" s="17">
        <v>3463928.55</v>
      </c>
      <c r="I110" s="8" t="s">
        <v>125</v>
      </c>
    </row>
    <row r="111" ht="15" customHeight="1">
      <c r="A111" s="7">
        <v>109</v>
      </c>
      <c r="B111" s="18">
        <v>0.6267</v>
      </c>
      <c r="C111" s="18">
        <v>1.0873</v>
      </c>
      <c r="D111" s="16">
        <v>26181.84</v>
      </c>
      <c r="E111" s="18">
        <v>0.8973</v>
      </c>
      <c r="F111" s="18">
        <v>0.1143</v>
      </c>
      <c r="G111" s="16">
        <v>3451782.55</v>
      </c>
      <c r="H111" s="16">
        <v>4144286.7</v>
      </c>
      <c r="I111" s="7" t="s">
        <v>125</v>
      </c>
    </row>
    <row r="112" ht="15" customHeight="1">
      <c r="A112" s="8">
        <v>110</v>
      </c>
      <c r="B112" s="19">
        <v>0.5151</v>
      </c>
      <c r="C112" s="19">
        <v>1.1731</v>
      </c>
      <c r="D112" s="17">
        <v>26041.42</v>
      </c>
      <c r="E112" s="19">
        <v>0.9158</v>
      </c>
      <c r="F112" s="19">
        <v>0.1219</v>
      </c>
      <c r="G112" s="17">
        <v>3059335.11</v>
      </c>
      <c r="H112" s="17">
        <v>3683763.69</v>
      </c>
      <c r="I112" s="8" t="s">
        <v>125</v>
      </c>
    </row>
    <row r="113" ht="15" customHeight="1">
      <c r="A113" s="7">
        <v>111</v>
      </c>
      <c r="B113" s="18">
        <v>0.4838</v>
      </c>
      <c r="C113" s="18">
        <v>1.1102</v>
      </c>
      <c r="D113" s="16">
        <v>28959.33</v>
      </c>
      <c r="E113" s="18">
        <v>0.8939</v>
      </c>
      <c r="F113" s="18">
        <v>0.1852</v>
      </c>
      <c r="G113" s="16">
        <v>2723395.71</v>
      </c>
      <c r="H113" s="16">
        <v>3308184.97</v>
      </c>
      <c r="I113" s="7" t="s">
        <v>125</v>
      </c>
    </row>
    <row r="114" ht="15" customHeight="1">
      <c r="A114" s="8">
        <v>112</v>
      </c>
      <c r="B114" s="19">
        <v>0.6121</v>
      </c>
      <c r="C114" s="19">
        <v>1.2405</v>
      </c>
      <c r="D114" s="17">
        <v>27512.74</v>
      </c>
      <c r="E114" s="19">
        <v>0.819</v>
      </c>
      <c r="F114" s="19">
        <v>0.0856</v>
      </c>
      <c r="G114" s="17">
        <v>3315205.5</v>
      </c>
      <c r="H114" s="17">
        <v>3972677.57</v>
      </c>
      <c r="I114" s="8" t="s">
        <v>125</v>
      </c>
    </row>
    <row r="115" ht="15" customHeight="1">
      <c r="A115" s="7">
        <v>113</v>
      </c>
      <c r="B115" s="18">
        <v>0.7806</v>
      </c>
      <c r="C115" s="18">
        <v>0.7222</v>
      </c>
      <c r="D115" s="16">
        <v>26464.61</v>
      </c>
      <c r="E115" s="18">
        <v>0.8274</v>
      </c>
      <c r="F115" s="18">
        <v>0.1428</v>
      </c>
      <c r="G115" s="16">
        <v>2483452.51</v>
      </c>
      <c r="H115" s="16">
        <v>3010215.63</v>
      </c>
      <c r="I115" s="7" t="s">
        <v>125</v>
      </c>
    </row>
    <row r="116" ht="15" customHeight="1">
      <c r="A116" s="8">
        <v>114</v>
      </c>
      <c r="B116" s="19">
        <v>0.5557</v>
      </c>
      <c r="C116" s="19">
        <v>1.1436</v>
      </c>
      <c r="D116" s="17">
        <v>29227.38</v>
      </c>
      <c r="E116" s="19">
        <v>0.8099</v>
      </c>
      <c r="F116" s="19">
        <v>0.1592</v>
      </c>
      <c r="G116" s="17">
        <v>2861408.84</v>
      </c>
      <c r="H116" s="17">
        <v>3463534.45</v>
      </c>
      <c r="I116" s="8" t="s">
        <v>125</v>
      </c>
    </row>
    <row r="117" ht="15" customHeight="1">
      <c r="A117" s="7">
        <v>115</v>
      </c>
      <c r="B117" s="18">
        <v>0.4473</v>
      </c>
      <c r="C117" s="18">
        <v>1.066</v>
      </c>
      <c r="D117" s="16">
        <v>31872.49</v>
      </c>
      <c r="E117" s="18">
        <v>0.8535</v>
      </c>
      <c r="F117" s="18">
        <v>0.1003</v>
      </c>
      <c r="G117" s="16">
        <v>1679764.69</v>
      </c>
      <c r="H117" s="16">
        <v>2051466.68</v>
      </c>
      <c r="I117" s="7" t="s">
        <v>125</v>
      </c>
    </row>
    <row r="118" ht="15" customHeight="1">
      <c r="A118" s="8">
        <v>116</v>
      </c>
      <c r="B118" s="19">
        <v>0.7326</v>
      </c>
      <c r="C118" s="19">
        <v>0.8048</v>
      </c>
      <c r="D118" s="17">
        <v>25843.53</v>
      </c>
      <c r="E118" s="19">
        <v>0.9511</v>
      </c>
      <c r="F118" s="19">
        <v>0.092</v>
      </c>
      <c r="G118" s="17">
        <v>2957999.91</v>
      </c>
      <c r="H118" s="17">
        <v>3553851.01</v>
      </c>
      <c r="I118" s="8" t="s">
        <v>125</v>
      </c>
    </row>
    <row r="119" ht="15" customHeight="1">
      <c r="A119" s="7">
        <v>117</v>
      </c>
      <c r="B119" s="18">
        <v>0.5375</v>
      </c>
      <c r="C119" s="18">
        <v>0.8816</v>
      </c>
      <c r="D119" s="16">
        <v>23764.66</v>
      </c>
      <c r="E119" s="18">
        <v>0.8555</v>
      </c>
      <c r="F119" s="18">
        <v>0.1384</v>
      </c>
      <c r="G119" s="16">
        <v>2071001.72</v>
      </c>
      <c r="H119" s="16">
        <v>2520394.65</v>
      </c>
      <c r="I119" s="7" t="s">
        <v>125</v>
      </c>
    </row>
    <row r="120" ht="15" customHeight="1">
      <c r="A120" s="8">
        <v>118</v>
      </c>
      <c r="B120" s="19">
        <v>0.6112</v>
      </c>
      <c r="C120" s="19">
        <v>0.6373</v>
      </c>
      <c r="D120" s="17">
        <v>32301.9</v>
      </c>
      <c r="E120" s="19">
        <v>0.9245</v>
      </c>
      <c r="F120" s="19">
        <v>0.0772</v>
      </c>
      <c r="G120" s="17">
        <v>1239770.55</v>
      </c>
      <c r="H120" s="17">
        <v>1527822.5</v>
      </c>
      <c r="I120" s="8" t="s">
        <v>125</v>
      </c>
    </row>
    <row r="121" ht="15" customHeight="1">
      <c r="A121" s="7">
        <v>119</v>
      </c>
      <c r="B121" s="18">
        <v>0.6626</v>
      </c>
      <c r="C121" s="18">
        <v>0.9594</v>
      </c>
      <c r="D121" s="16">
        <v>35365.58</v>
      </c>
      <c r="E121" s="18">
        <v>0.924</v>
      </c>
      <c r="F121" s="18">
        <v>0.1099</v>
      </c>
      <c r="G121" s="16">
        <v>2962249.92</v>
      </c>
      <c r="H121" s="16">
        <v>3567806.27</v>
      </c>
      <c r="I121" s="7" t="s">
        <v>125</v>
      </c>
    </row>
    <row r="122" ht="15" customHeight="1">
      <c r="A122" s="8">
        <v>120</v>
      </c>
      <c r="B122" s="19">
        <v>0.7486</v>
      </c>
      <c r="C122" s="19">
        <v>1.0454</v>
      </c>
      <c r="D122" s="17">
        <v>26543.76</v>
      </c>
      <c r="E122" s="19">
        <v>0.8682</v>
      </c>
      <c r="F122" s="19">
        <v>0.1384</v>
      </c>
      <c r="G122" s="17">
        <v>4115783.93</v>
      </c>
      <c r="H122" s="17">
        <v>4938374.81</v>
      </c>
      <c r="I122" s="8" t="s">
        <v>125</v>
      </c>
    </row>
    <row r="123" ht="15" customHeight="1">
      <c r="A123" s="7">
        <v>121</v>
      </c>
      <c r="B123" s="18">
        <v>0.4111</v>
      </c>
      <c r="C123" s="18">
        <v>1.1387</v>
      </c>
      <c r="D123" s="16">
        <v>28679.85</v>
      </c>
      <c r="E123" s="18">
        <v>0.9403</v>
      </c>
      <c r="F123" s="18">
        <v>0.1659</v>
      </c>
      <c r="G123" s="16">
        <v>2313816.51</v>
      </c>
      <c r="H123" s="16">
        <v>2817018.32</v>
      </c>
      <c r="I123" s="7" t="s">
        <v>125</v>
      </c>
    </row>
    <row r="124" ht="15" customHeight="1">
      <c r="A124" s="8">
        <v>122</v>
      </c>
      <c r="B124" s="19">
        <v>0.7486</v>
      </c>
      <c r="C124" s="19">
        <v>0.7016</v>
      </c>
      <c r="D124" s="17">
        <v>28182.65</v>
      </c>
      <c r="E124" s="19">
        <v>0.9123</v>
      </c>
      <c r="F124" s="19">
        <v>0.1438</v>
      </c>
      <c r="G124" s="17">
        <v>2534981.27</v>
      </c>
      <c r="H124" s="17">
        <v>3072086.5</v>
      </c>
      <c r="I124" s="8" t="s">
        <v>125</v>
      </c>
    </row>
    <row r="125" ht="15" customHeight="1">
      <c r="A125" s="7">
        <v>123</v>
      </c>
      <c r="B125" s="18">
        <v>0.5649</v>
      </c>
      <c r="C125" s="18">
        <v>0.9825</v>
      </c>
      <c r="D125" s="16">
        <v>34434.58</v>
      </c>
      <c r="E125" s="18">
        <v>0.9202</v>
      </c>
      <c r="F125" s="18">
        <v>0.1275</v>
      </c>
      <c r="G125" s="16">
        <v>2506172.83</v>
      </c>
      <c r="H125" s="16">
        <v>3035214</v>
      </c>
      <c r="I125" s="7" t="s">
        <v>125</v>
      </c>
    </row>
    <row r="126" ht="15" customHeight="1">
      <c r="A126" s="8">
        <v>124</v>
      </c>
      <c r="B126" s="19">
        <v>0.7396</v>
      </c>
      <c r="C126" s="19">
        <v>1.5501</v>
      </c>
      <c r="D126" s="17">
        <v>29283.05</v>
      </c>
      <c r="E126" s="19">
        <v>0.9421</v>
      </c>
      <c r="F126" s="19">
        <v>0.1103</v>
      </c>
      <c r="G126" s="17">
        <v>6843723.07</v>
      </c>
      <c r="H126" s="17">
        <v>8145157.76</v>
      </c>
      <c r="I126" s="8" t="s">
        <v>125</v>
      </c>
    </row>
    <row r="127" ht="15" customHeight="1">
      <c r="A127" s="7">
        <v>125</v>
      </c>
      <c r="B127" s="18">
        <v>0.6217</v>
      </c>
      <c r="C127" s="18">
        <v>1.2441</v>
      </c>
      <c r="D127" s="16">
        <v>18163.23</v>
      </c>
      <c r="E127" s="18">
        <v>0.9385</v>
      </c>
      <c r="F127" s="18">
        <v>0.0958</v>
      </c>
      <c r="G127" s="16">
        <v>4429694.91</v>
      </c>
      <c r="H127" s="16">
        <v>5287567.16</v>
      </c>
      <c r="I127" s="7" t="s">
        <v>125</v>
      </c>
    </row>
    <row r="128" ht="15" customHeight="1">
      <c r="A128" s="8">
        <v>126</v>
      </c>
      <c r="B128" s="19">
        <v>0.7257</v>
      </c>
      <c r="C128" s="19">
        <v>0.6517</v>
      </c>
      <c r="D128" s="17">
        <v>32169.95</v>
      </c>
      <c r="E128" s="19">
        <v>0.8537</v>
      </c>
      <c r="F128" s="19">
        <v>0.1062</v>
      </c>
      <c r="G128" s="17">
        <v>1670167.2</v>
      </c>
      <c r="H128" s="17">
        <v>2041713.35</v>
      </c>
      <c r="I128" s="8" t="s">
        <v>125</v>
      </c>
    </row>
    <row r="129" ht="15" customHeight="1">
      <c r="A129" s="7">
        <v>127</v>
      </c>
      <c r="B129" s="18">
        <v>0.6137</v>
      </c>
      <c r="C129" s="18">
        <v>0.5281</v>
      </c>
      <c r="D129" s="16">
        <v>30298.49</v>
      </c>
      <c r="E129" s="18">
        <v>0.8439</v>
      </c>
      <c r="F129" s="18">
        <v>0.0941</v>
      </c>
      <c r="G129" s="16">
        <v>724441.54</v>
      </c>
      <c r="H129" s="16">
        <v>923773.35</v>
      </c>
      <c r="I129" s="7" t="s">
        <v>125</v>
      </c>
    </row>
    <row r="130" ht="15" customHeight="1">
      <c r="A130" s="8">
        <v>128</v>
      </c>
      <c r="B130" s="19">
        <v>0.4617</v>
      </c>
      <c r="C130" s="19">
        <v>0.844</v>
      </c>
      <c r="D130" s="17">
        <v>29783.59</v>
      </c>
      <c r="E130" s="19">
        <v>0.8997</v>
      </c>
      <c r="F130" s="19">
        <v>0.0925</v>
      </c>
      <c r="G130" s="17">
        <v>1300360.99</v>
      </c>
      <c r="H130" s="17">
        <v>1601948.7</v>
      </c>
      <c r="I130" s="8" t="s">
        <v>125</v>
      </c>
    </row>
    <row r="131" ht="15" customHeight="1">
      <c r="A131" s="7">
        <v>129</v>
      </c>
      <c r="B131" s="18">
        <v>0.563</v>
      </c>
      <c r="C131" s="18">
        <v>1.1085</v>
      </c>
      <c r="D131" s="16">
        <v>35467.69</v>
      </c>
      <c r="E131" s="18">
        <v>0.9101</v>
      </c>
      <c r="F131" s="18">
        <v>0.1577</v>
      </c>
      <c r="G131" s="16">
        <v>3086328.21</v>
      </c>
      <c r="H131" s="16">
        <v>3731847.34</v>
      </c>
      <c r="I131" s="7" t="s">
        <v>125</v>
      </c>
    </row>
    <row r="132" ht="15" customHeight="1">
      <c r="A132" s="8">
        <v>130</v>
      </c>
      <c r="B132" s="19">
        <v>0.581</v>
      </c>
      <c r="C132" s="19">
        <v>1.0046</v>
      </c>
      <c r="D132" s="17">
        <v>28335.28</v>
      </c>
      <c r="E132" s="19">
        <v>0.8971</v>
      </c>
      <c r="F132" s="19">
        <v>0.1401</v>
      </c>
      <c r="G132" s="17">
        <v>2858312.85</v>
      </c>
      <c r="H132" s="17">
        <v>3453243.14</v>
      </c>
      <c r="I132" s="8" t="s">
        <v>125</v>
      </c>
    </row>
    <row r="133" ht="15" customHeight="1">
      <c r="A133" s="7">
        <v>131</v>
      </c>
      <c r="B133" s="18">
        <v>0.4514</v>
      </c>
      <c r="C133" s="18">
        <v>0.9569</v>
      </c>
      <c r="D133" s="16">
        <v>26950.42</v>
      </c>
      <c r="E133" s="18">
        <v>0.891</v>
      </c>
      <c r="F133" s="18">
        <v>0.1098</v>
      </c>
      <c r="G133" s="16">
        <v>1703537.13</v>
      </c>
      <c r="H133" s="16">
        <v>2080435.05</v>
      </c>
      <c r="I133" s="7" t="s">
        <v>125</v>
      </c>
    </row>
    <row r="134" ht="15" customHeight="1">
      <c r="A134" s="8">
        <v>132</v>
      </c>
      <c r="B134" s="19">
        <v>0.698</v>
      </c>
      <c r="C134" s="19">
        <v>1.1216</v>
      </c>
      <c r="D134" s="17">
        <v>31619.17</v>
      </c>
      <c r="E134" s="19">
        <v>0.8853</v>
      </c>
      <c r="F134" s="19">
        <v>0.0865</v>
      </c>
      <c r="G134" s="17">
        <v>3711902.52</v>
      </c>
      <c r="H134" s="17">
        <v>4441191.23</v>
      </c>
      <c r="I134" s="8" t="s">
        <v>125</v>
      </c>
    </row>
    <row r="135" ht="15" customHeight="1">
      <c r="A135" s="7">
        <v>133</v>
      </c>
      <c r="B135" s="18">
        <v>0.3862</v>
      </c>
      <c r="C135" s="18">
        <v>0.9161</v>
      </c>
      <c r="D135" s="16">
        <v>30635.89</v>
      </c>
      <c r="E135" s="18">
        <v>0.9268</v>
      </c>
      <c r="F135" s="18">
        <v>0.1242</v>
      </c>
      <c r="G135" s="16">
        <v>1209976.62</v>
      </c>
      <c r="H135" s="16">
        <v>1502261.52</v>
      </c>
      <c r="I135" s="7" t="s">
        <v>125</v>
      </c>
    </row>
    <row r="136" ht="15" customHeight="1">
      <c r="A136" s="8">
        <v>134</v>
      </c>
      <c r="B136" s="19">
        <v>0.5275</v>
      </c>
      <c r="C136" s="19">
        <v>0.8058</v>
      </c>
      <c r="D136" s="17">
        <v>29569.59</v>
      </c>
      <c r="E136" s="19">
        <v>0.873</v>
      </c>
      <c r="F136" s="19">
        <v>0.063</v>
      </c>
      <c r="G136" s="17">
        <v>1352464.25</v>
      </c>
      <c r="H136" s="17">
        <v>1656693.26</v>
      </c>
      <c r="I136" s="8" t="s">
        <v>125</v>
      </c>
    </row>
    <row r="137" ht="15" customHeight="1">
      <c r="A137" s="7">
        <v>135</v>
      </c>
      <c r="B137" s="18">
        <v>0.703</v>
      </c>
      <c r="C137" s="18">
        <v>0.9052</v>
      </c>
      <c r="D137" s="16">
        <v>27636.37</v>
      </c>
      <c r="E137" s="18">
        <v>0.924</v>
      </c>
      <c r="F137" s="18">
        <v>0.1164</v>
      </c>
      <c r="G137" s="16">
        <v>3242233.03</v>
      </c>
      <c r="H137" s="16">
        <v>3898231.48</v>
      </c>
      <c r="I137" s="7" t="s">
        <v>125</v>
      </c>
    </row>
    <row r="138" ht="15" customHeight="1">
      <c r="A138" s="8">
        <v>136</v>
      </c>
      <c r="B138" s="19">
        <v>0.6573</v>
      </c>
      <c r="C138" s="19">
        <v>0.9258</v>
      </c>
      <c r="D138" s="17">
        <v>30961.07</v>
      </c>
      <c r="E138" s="19">
        <v>0.8092</v>
      </c>
      <c r="F138" s="19">
        <v>0.0837</v>
      </c>
      <c r="G138" s="17">
        <v>2260961.82</v>
      </c>
      <c r="H138" s="17">
        <v>2731367.61</v>
      </c>
      <c r="I138" s="8" t="s">
        <v>125</v>
      </c>
    </row>
    <row r="139" ht="15" customHeight="1">
      <c r="A139" s="7">
        <v>137</v>
      </c>
      <c r="B139" s="18">
        <v>0.6555</v>
      </c>
      <c r="C139" s="18">
        <v>1.2501</v>
      </c>
      <c r="D139" s="16">
        <v>23501.57</v>
      </c>
      <c r="E139" s="18">
        <v>0.9566</v>
      </c>
      <c r="F139" s="18">
        <v>0.1142</v>
      </c>
      <c r="G139" s="16">
        <v>4832383.98</v>
      </c>
      <c r="H139" s="16">
        <v>5772582.57</v>
      </c>
      <c r="I139" s="7" t="s">
        <v>125</v>
      </c>
    </row>
    <row r="140" ht="15" customHeight="1">
      <c r="A140" s="8">
        <v>138</v>
      </c>
      <c r="B140" s="19">
        <v>0.6172</v>
      </c>
      <c r="C140" s="19">
        <v>1.0357</v>
      </c>
      <c r="D140" s="17">
        <v>24687.91</v>
      </c>
      <c r="E140" s="19">
        <v>0.869</v>
      </c>
      <c r="F140" s="19">
        <v>0.0672</v>
      </c>
      <c r="G140" s="17">
        <v>2822789.16</v>
      </c>
      <c r="H140" s="17">
        <v>3385939.81</v>
      </c>
      <c r="I140" s="8" t="s">
        <v>125</v>
      </c>
    </row>
    <row r="141" ht="15" customHeight="1">
      <c r="A141" s="7">
        <v>139</v>
      </c>
      <c r="B141" s="18">
        <v>0.7274</v>
      </c>
      <c r="C141" s="18">
        <v>0.9156</v>
      </c>
      <c r="D141" s="16">
        <v>18974.57</v>
      </c>
      <c r="E141" s="18">
        <v>0.9415</v>
      </c>
      <c r="F141" s="18">
        <v>0.0861</v>
      </c>
      <c r="G141" s="16">
        <v>3618821.92</v>
      </c>
      <c r="H141" s="16">
        <v>4328439.59</v>
      </c>
      <c r="I141" s="7" t="s">
        <v>125</v>
      </c>
    </row>
    <row r="142" ht="15" customHeight="1">
      <c r="A142" s="8">
        <v>140</v>
      </c>
      <c r="B142" s="19">
        <v>0.6008</v>
      </c>
      <c r="C142" s="19">
        <v>0.9549</v>
      </c>
      <c r="D142" s="17">
        <v>29544.79</v>
      </c>
      <c r="E142" s="19">
        <v>0.9259</v>
      </c>
      <c r="F142" s="19">
        <v>0.0995</v>
      </c>
      <c r="G142" s="17">
        <v>2666415.5</v>
      </c>
      <c r="H142" s="17">
        <v>3213696.42</v>
      </c>
      <c r="I142" s="8" t="s">
        <v>125</v>
      </c>
    </row>
    <row r="143" ht="15" customHeight="1">
      <c r="A143" s="7">
        <v>141</v>
      </c>
      <c r="B143" s="18">
        <v>0.6045</v>
      </c>
      <c r="C143" s="18">
        <v>1.0247</v>
      </c>
      <c r="D143" s="16">
        <v>27367.56</v>
      </c>
      <c r="E143" s="18">
        <v>0.9317</v>
      </c>
      <c r="F143" s="18">
        <v>0.0884</v>
      </c>
      <c r="G143" s="16">
        <v>3010304.63</v>
      </c>
      <c r="H143" s="16">
        <v>3614554.38</v>
      </c>
      <c r="I143" s="7" t="s">
        <v>125</v>
      </c>
    </row>
    <row r="144" ht="15" customHeight="1">
      <c r="A144" s="8">
        <v>142</v>
      </c>
      <c r="B144" s="19">
        <v>0.4969</v>
      </c>
      <c r="C144" s="19">
        <v>0.966</v>
      </c>
      <c r="D144" s="17">
        <v>33627.35</v>
      </c>
      <c r="E144" s="19">
        <v>0.8765</v>
      </c>
      <c r="F144" s="19">
        <v>0.1366</v>
      </c>
      <c r="G144" s="17">
        <v>1879067.34</v>
      </c>
      <c r="H144" s="17">
        <v>2296674.78</v>
      </c>
      <c r="I144" s="8" t="s">
        <v>125</v>
      </c>
    </row>
    <row r="145" ht="15" customHeight="1">
      <c r="A145" s="7">
        <v>143</v>
      </c>
      <c r="B145" s="18">
        <v>0.7129</v>
      </c>
      <c r="C145" s="18">
        <v>0.8426</v>
      </c>
      <c r="D145" s="16">
        <v>26334.15</v>
      </c>
      <c r="E145" s="18">
        <v>0.8662</v>
      </c>
      <c r="F145" s="18">
        <v>0.0981</v>
      </c>
      <c r="G145" s="16">
        <v>2677582.93</v>
      </c>
      <c r="H145" s="16">
        <v>3225561.37</v>
      </c>
      <c r="I145" s="7" t="s">
        <v>125</v>
      </c>
    </row>
    <row r="146" ht="15" customHeight="1">
      <c r="A146" s="8">
        <v>144</v>
      </c>
      <c r="B146" s="19">
        <v>0.6162</v>
      </c>
      <c r="C146" s="19">
        <v>0.4207</v>
      </c>
      <c r="D146" s="17">
        <v>27233.7</v>
      </c>
      <c r="E146" s="19">
        <v>0.8881</v>
      </c>
      <c r="F146" s="19">
        <v>0.1491</v>
      </c>
      <c r="G146" s="17">
        <v>626949.21</v>
      </c>
      <c r="H146" s="17">
        <v>816333.71</v>
      </c>
      <c r="I146" s="8" t="s">
        <v>125</v>
      </c>
    </row>
    <row r="147" ht="15" customHeight="1">
      <c r="A147" s="7">
        <v>145</v>
      </c>
      <c r="B147" s="18">
        <v>0.539</v>
      </c>
      <c r="C147" s="18">
        <v>0.8756</v>
      </c>
      <c r="D147" s="16">
        <v>19667.19</v>
      </c>
      <c r="E147" s="18">
        <v>0.8642</v>
      </c>
      <c r="F147" s="18">
        <v>0.1652</v>
      </c>
      <c r="G147" s="16">
        <v>2328047.25</v>
      </c>
      <c r="H147" s="16">
        <v>2829766.17</v>
      </c>
      <c r="I147" s="7" t="s">
        <v>125</v>
      </c>
    </row>
    <row r="148" ht="15" customHeight="1">
      <c r="A148" s="8">
        <v>146</v>
      </c>
      <c r="B148" s="19">
        <v>0.502</v>
      </c>
      <c r="C148" s="19">
        <v>1.1746</v>
      </c>
      <c r="D148" s="17">
        <v>22389.07</v>
      </c>
      <c r="E148" s="19">
        <v>0.8565</v>
      </c>
      <c r="F148" s="19">
        <v>0.178</v>
      </c>
      <c r="G148" s="17">
        <v>3093015.98</v>
      </c>
      <c r="H148" s="17">
        <v>3740980.24</v>
      </c>
      <c r="I148" s="8" t="s">
        <v>125</v>
      </c>
    </row>
    <row r="149" ht="15" customHeight="1">
      <c r="A149" s="7">
        <v>147</v>
      </c>
      <c r="B149" s="18">
        <v>0.3074</v>
      </c>
      <c r="C149" s="18">
        <v>1.0383</v>
      </c>
      <c r="D149" s="16">
        <v>36173.8</v>
      </c>
      <c r="E149" s="18">
        <v>0.8555</v>
      </c>
      <c r="F149" s="18">
        <v>0.1295</v>
      </c>
      <c r="G149" s="16">
        <v>635765.86</v>
      </c>
      <c r="H149" s="16">
        <v>826946.65</v>
      </c>
      <c r="I149" s="7" t="s">
        <v>125</v>
      </c>
    </row>
    <row r="150" ht="15" customHeight="1">
      <c r="A150" s="8">
        <v>148</v>
      </c>
      <c r="B150" s="19">
        <v>0.6998</v>
      </c>
      <c r="C150" s="19">
        <v>0.8799</v>
      </c>
      <c r="D150" s="17">
        <v>27592.5</v>
      </c>
      <c r="E150" s="19">
        <v>0.8609</v>
      </c>
      <c r="F150" s="19">
        <v>0.0916</v>
      </c>
      <c r="G150" s="17">
        <v>2677244.71</v>
      </c>
      <c r="H150" s="17">
        <v>3223355.68</v>
      </c>
      <c r="I150" s="8" t="s">
        <v>125</v>
      </c>
    </row>
    <row r="151" ht="15" customHeight="1">
      <c r="A151" s="7">
        <v>149</v>
      </c>
      <c r="B151" s="18">
        <v>0.617</v>
      </c>
      <c r="C151" s="18">
        <v>0.774</v>
      </c>
      <c r="D151" s="16">
        <v>24797.28</v>
      </c>
      <c r="E151" s="18">
        <v>0.8535</v>
      </c>
      <c r="F151" s="18">
        <v>0.1308</v>
      </c>
      <c r="G151" s="16">
        <v>2025115.81</v>
      </c>
      <c r="H151" s="16">
        <v>2464600.41</v>
      </c>
      <c r="I151" s="7" t="s">
        <v>125</v>
      </c>
    </row>
    <row r="152" ht="15" customHeight="1">
      <c r="A152" s="8">
        <v>150</v>
      </c>
      <c r="B152" s="19">
        <v>0.6963</v>
      </c>
      <c r="C152" s="19">
        <v>0.821</v>
      </c>
      <c r="D152" s="17">
        <v>28905.66</v>
      </c>
      <c r="E152" s="19">
        <v>0.8116</v>
      </c>
      <c r="F152" s="19">
        <v>0.1379</v>
      </c>
      <c r="G152" s="17">
        <v>2366057.89</v>
      </c>
      <c r="H152" s="17">
        <v>2870901.65</v>
      </c>
      <c r="I152" s="8" t="s">
        <v>125</v>
      </c>
    </row>
    <row r="153" ht="15" customHeight="1">
      <c r="A153" s="7">
        <v>151</v>
      </c>
      <c r="B153" s="18">
        <v>0.6614</v>
      </c>
      <c r="C153" s="18">
        <v>1.2069</v>
      </c>
      <c r="D153" s="16">
        <v>25306.97</v>
      </c>
      <c r="E153" s="18">
        <v>0.825</v>
      </c>
      <c r="F153" s="18">
        <v>0.1297</v>
      </c>
      <c r="G153" s="16">
        <v>3934295.9</v>
      </c>
      <c r="H153" s="16">
        <v>4719803.07</v>
      </c>
      <c r="I153" s="7" t="s">
        <v>125</v>
      </c>
    </row>
    <row r="154" ht="15" customHeight="1">
      <c r="A154" s="8">
        <v>152</v>
      </c>
      <c r="B154" s="19">
        <v>0.6008</v>
      </c>
      <c r="C154" s="19">
        <v>0.8724</v>
      </c>
      <c r="D154" s="17">
        <v>32548.28</v>
      </c>
      <c r="E154" s="19">
        <v>0.7905</v>
      </c>
      <c r="F154" s="19">
        <v>0.0995</v>
      </c>
      <c r="G154" s="17">
        <v>1710523.16</v>
      </c>
      <c r="H154" s="17">
        <v>2087690.43</v>
      </c>
      <c r="I154" s="8" t="s">
        <v>125</v>
      </c>
    </row>
    <row r="155" ht="15" customHeight="1">
      <c r="A155" s="7">
        <v>153</v>
      </c>
      <c r="B155" s="18">
        <v>0.6196</v>
      </c>
      <c r="C155" s="18">
        <v>0.8997</v>
      </c>
      <c r="D155" s="16">
        <v>21084.39</v>
      </c>
      <c r="E155" s="18">
        <v>0.9173</v>
      </c>
      <c r="F155" s="18">
        <v>0.0799</v>
      </c>
      <c r="G155" s="16">
        <v>2683549.93</v>
      </c>
      <c r="H155" s="16">
        <v>3225542.37</v>
      </c>
      <c r="I155" s="7" t="s">
        <v>125</v>
      </c>
    </row>
    <row r="156" ht="15" customHeight="1">
      <c r="A156" s="8">
        <v>154</v>
      </c>
      <c r="B156" s="19">
        <v>0.7093</v>
      </c>
      <c r="C156" s="19">
        <v>0.558</v>
      </c>
      <c r="D156" s="17">
        <v>21686.86</v>
      </c>
      <c r="E156" s="19">
        <v>0.917</v>
      </c>
      <c r="F156" s="19">
        <v>0.0764</v>
      </c>
      <c r="G156" s="17">
        <v>1583982.58</v>
      </c>
      <c r="H156" s="17">
        <v>1930514.61</v>
      </c>
      <c r="I156" s="8" t="s">
        <v>125</v>
      </c>
    </row>
    <row r="157" ht="15" customHeight="1">
      <c r="A157" s="7">
        <v>155</v>
      </c>
      <c r="B157" s="18">
        <v>0.7512</v>
      </c>
      <c r="C157" s="18">
        <v>1.0656</v>
      </c>
      <c r="D157" s="16">
        <v>30968.13</v>
      </c>
      <c r="E157" s="18">
        <v>0.9</v>
      </c>
      <c r="F157" s="18">
        <v>0.0529</v>
      </c>
      <c r="G157" s="16">
        <v>3699758.89</v>
      </c>
      <c r="H157" s="16">
        <v>4412224.25</v>
      </c>
      <c r="I157" s="7" t="s">
        <v>125</v>
      </c>
    </row>
    <row r="158" ht="15" customHeight="1">
      <c r="A158" s="8">
        <v>156</v>
      </c>
      <c r="B158" s="19">
        <v>0.5823</v>
      </c>
      <c r="C158" s="19">
        <v>1.0971</v>
      </c>
      <c r="D158" s="17">
        <v>34185.89</v>
      </c>
      <c r="E158" s="19">
        <v>0.8809</v>
      </c>
      <c r="F158" s="19">
        <v>0.1283</v>
      </c>
      <c r="G158" s="17">
        <v>2916923.84</v>
      </c>
      <c r="H158" s="17">
        <v>3520572.69</v>
      </c>
      <c r="I158" s="8" t="s">
        <v>125</v>
      </c>
    </row>
    <row r="159" ht="15" customHeight="1">
      <c r="A159" s="7">
        <v>157</v>
      </c>
      <c r="B159" s="18">
        <v>0.6148</v>
      </c>
      <c r="C159" s="18">
        <v>0.9631</v>
      </c>
      <c r="D159" s="16">
        <v>26452.04</v>
      </c>
      <c r="E159" s="18">
        <v>0.8808</v>
      </c>
      <c r="F159" s="18">
        <v>0.1022</v>
      </c>
      <c r="G159" s="16">
        <v>2704260.71</v>
      </c>
      <c r="H159" s="16">
        <v>3258377.59</v>
      </c>
      <c r="I159" s="7" t="s">
        <v>125</v>
      </c>
    </row>
    <row r="160" ht="15" customHeight="1">
      <c r="A160" s="8">
        <v>158</v>
      </c>
      <c r="B160" s="19">
        <v>0.5375</v>
      </c>
      <c r="C160" s="19">
        <v>1.0574</v>
      </c>
      <c r="D160" s="17">
        <v>20187.73</v>
      </c>
      <c r="E160" s="19">
        <v>0.8253</v>
      </c>
      <c r="F160" s="19">
        <v>0.0394</v>
      </c>
      <c r="G160" s="17">
        <v>2227437.16</v>
      </c>
      <c r="H160" s="17">
        <v>2677178.44</v>
      </c>
      <c r="I160" s="8" t="s">
        <v>125</v>
      </c>
    </row>
    <row r="161" ht="15" customHeight="1">
      <c r="A161" s="7">
        <v>159</v>
      </c>
      <c r="B161" s="18">
        <v>0.7693</v>
      </c>
      <c r="C161" s="18">
        <v>1.0898</v>
      </c>
      <c r="D161" s="16">
        <v>31032.03</v>
      </c>
      <c r="E161" s="18">
        <v>0.924</v>
      </c>
      <c r="F161" s="18">
        <v>0.1179</v>
      </c>
      <c r="G161" s="16">
        <v>4560178.23</v>
      </c>
      <c r="H161" s="16">
        <v>5455493.3</v>
      </c>
      <c r="I161" s="7" t="s">
        <v>125</v>
      </c>
    </row>
    <row r="162" ht="15" customHeight="1">
      <c r="A162" s="8">
        <v>160</v>
      </c>
      <c r="B162" s="19">
        <v>0.6737</v>
      </c>
      <c r="C162" s="19">
        <v>0.7039</v>
      </c>
      <c r="D162" s="17">
        <v>28988.07</v>
      </c>
      <c r="E162" s="19">
        <v>0.9555</v>
      </c>
      <c r="F162" s="19">
        <v>0.119</v>
      </c>
      <c r="G162" s="17">
        <v>2193231.61</v>
      </c>
      <c r="H162" s="17">
        <v>2661325.62</v>
      </c>
      <c r="I162" s="8" t="s">
        <v>125</v>
      </c>
    </row>
    <row r="163" ht="15" customHeight="1">
      <c r="A163" s="7">
        <v>161</v>
      </c>
      <c r="B163" s="18">
        <v>0.7761</v>
      </c>
      <c r="C163" s="18">
        <v>0.8404</v>
      </c>
      <c r="D163" s="16">
        <v>31075.53</v>
      </c>
      <c r="E163" s="18">
        <v>0.8956</v>
      </c>
      <c r="F163" s="18">
        <v>0.1203</v>
      </c>
      <c r="G163" s="16">
        <v>3130101.07</v>
      </c>
      <c r="H163" s="16">
        <v>3768369.32</v>
      </c>
      <c r="I163" s="7" t="s">
        <v>125</v>
      </c>
    </row>
    <row r="164" ht="15" customHeight="1">
      <c r="A164" s="8">
        <v>162</v>
      </c>
      <c r="B164" s="19">
        <v>0.5541</v>
      </c>
      <c r="C164" s="19">
        <v>0.9366</v>
      </c>
      <c r="D164" s="17">
        <v>24916.06</v>
      </c>
      <c r="E164" s="19">
        <v>0.9418</v>
      </c>
      <c r="F164" s="19">
        <v>0.174</v>
      </c>
      <c r="G164" s="17">
        <v>2862212.31</v>
      </c>
      <c r="H164" s="17">
        <v>3467359.5</v>
      </c>
      <c r="I164" s="8" t="s">
        <v>125</v>
      </c>
    </row>
    <row r="165" ht="15" customHeight="1">
      <c r="A165" s="7">
        <v>163</v>
      </c>
      <c r="B165" s="18">
        <v>0.6203</v>
      </c>
      <c r="C165" s="18">
        <v>1.2132</v>
      </c>
      <c r="D165" s="16">
        <v>29403.13</v>
      </c>
      <c r="E165" s="18">
        <v>0.9113</v>
      </c>
      <c r="F165" s="18">
        <v>0.1088</v>
      </c>
      <c r="G165" s="16">
        <v>3874910.05</v>
      </c>
      <c r="H165" s="16">
        <v>4642234.72</v>
      </c>
      <c r="I165" s="7" t="s">
        <v>125</v>
      </c>
    </row>
    <row r="166" ht="15" customHeight="1">
      <c r="A166" s="8">
        <v>164</v>
      </c>
      <c r="B166" s="19">
        <v>0.6753</v>
      </c>
      <c r="C166" s="19">
        <v>1.1113</v>
      </c>
      <c r="D166" s="17">
        <v>24737.27</v>
      </c>
      <c r="E166" s="19">
        <v>0.9194</v>
      </c>
      <c r="F166" s="19">
        <v>0.1128</v>
      </c>
      <c r="G166" s="17">
        <v>4077466.09</v>
      </c>
      <c r="H166" s="17">
        <v>4881524.73</v>
      </c>
      <c r="I166" s="8" t="s">
        <v>125</v>
      </c>
    </row>
    <row r="167" ht="15" customHeight="1">
      <c r="A167" s="7">
        <v>165</v>
      </c>
      <c r="B167" s="18">
        <v>0.3426</v>
      </c>
      <c r="C167" s="18">
        <v>0.7987</v>
      </c>
      <c r="D167" s="16">
        <v>29008.44</v>
      </c>
      <c r="E167" s="18">
        <v>0.8665</v>
      </c>
      <c r="F167" s="18">
        <v>0.1199</v>
      </c>
      <c r="G167" s="16">
        <v>557296.76</v>
      </c>
      <c r="H167" s="16">
        <v>730365.14</v>
      </c>
      <c r="I167" s="7" t="s">
        <v>125</v>
      </c>
    </row>
    <row r="168" ht="15" customHeight="1">
      <c r="A168" s="8">
        <v>166</v>
      </c>
      <c r="B168" s="19">
        <v>0.4899</v>
      </c>
      <c r="C168" s="19">
        <v>0.8556</v>
      </c>
      <c r="D168" s="17">
        <v>23989.3</v>
      </c>
      <c r="E168" s="19">
        <v>0.907</v>
      </c>
      <c r="F168" s="19">
        <v>0.0496</v>
      </c>
      <c r="G168" s="17">
        <v>1540037.96</v>
      </c>
      <c r="H168" s="17">
        <v>1873190.25</v>
      </c>
      <c r="I168" s="8" t="s">
        <v>125</v>
      </c>
    </row>
    <row r="169" ht="15" customHeight="1">
      <c r="A169" s="7">
        <v>167</v>
      </c>
      <c r="B169" s="18">
        <v>0.5572</v>
      </c>
      <c r="C169" s="18">
        <v>1.0684</v>
      </c>
      <c r="D169" s="16">
        <v>31217.13</v>
      </c>
      <c r="E169" s="18">
        <v>0.8737</v>
      </c>
      <c r="F169" s="18">
        <v>0.1674</v>
      </c>
      <c r="G169" s="16">
        <v>2888319.48</v>
      </c>
      <c r="H169" s="16">
        <v>3498976.64</v>
      </c>
      <c r="I169" s="7" t="s">
        <v>125</v>
      </c>
    </row>
    <row r="170" ht="15" customHeight="1">
      <c r="A170" s="8">
        <v>168</v>
      </c>
      <c r="B170" s="19">
        <v>0.621</v>
      </c>
      <c r="C170" s="19">
        <v>0.8519</v>
      </c>
      <c r="D170" s="17">
        <v>33437.15</v>
      </c>
      <c r="E170" s="19">
        <v>0.9359</v>
      </c>
      <c r="F170" s="19">
        <v>0.1211</v>
      </c>
      <c r="G170" s="17">
        <v>2385195.35</v>
      </c>
      <c r="H170" s="17">
        <v>2889999.33</v>
      </c>
      <c r="I170" s="8" t="s">
        <v>125</v>
      </c>
    </row>
    <row r="171" ht="15" customHeight="1">
      <c r="A171" s="7">
        <v>169</v>
      </c>
      <c r="B171" s="18">
        <v>0.5652</v>
      </c>
      <c r="C171" s="18">
        <v>1.1116</v>
      </c>
      <c r="D171" s="16">
        <v>24745.22</v>
      </c>
      <c r="E171" s="18">
        <v>0.9374</v>
      </c>
      <c r="F171" s="18">
        <v>0.1299</v>
      </c>
      <c r="G171" s="16">
        <v>3417941.42</v>
      </c>
      <c r="H171" s="16">
        <v>4109731.64</v>
      </c>
      <c r="I171" s="7" t="s">
        <v>125</v>
      </c>
    </row>
    <row r="172" ht="15" customHeight="1">
      <c r="A172" s="8">
        <v>170</v>
      </c>
      <c r="B172" s="19">
        <v>0.4995</v>
      </c>
      <c r="C172" s="19">
        <v>1.2028</v>
      </c>
      <c r="D172" s="17">
        <v>25258.89</v>
      </c>
      <c r="E172" s="19">
        <v>0.8972</v>
      </c>
      <c r="F172" s="19">
        <v>0.1124</v>
      </c>
      <c r="G172" s="17">
        <v>2924169.19</v>
      </c>
      <c r="H172" s="17">
        <v>3520750.72</v>
      </c>
      <c r="I172" s="8" t="s">
        <v>125</v>
      </c>
    </row>
    <row r="173" ht="15" customHeight="1">
      <c r="A173" s="7">
        <v>171</v>
      </c>
      <c r="B173" s="18">
        <v>0.7134</v>
      </c>
      <c r="C173" s="18">
        <v>1.2051</v>
      </c>
      <c r="D173" s="16">
        <v>22830.77</v>
      </c>
      <c r="E173" s="18">
        <v>0.8571</v>
      </c>
      <c r="F173" s="18">
        <v>0.1488</v>
      </c>
      <c r="G173" s="16">
        <v>4754110.15</v>
      </c>
      <c r="H173" s="16">
        <v>5696422.08</v>
      </c>
      <c r="I173" s="7" t="s">
        <v>125</v>
      </c>
    </row>
    <row r="174" ht="15" customHeight="1">
      <c r="A174" s="8">
        <v>172</v>
      </c>
      <c r="B174" s="19">
        <v>0.5119</v>
      </c>
      <c r="C174" s="19">
        <v>0.9593</v>
      </c>
      <c r="D174" s="17">
        <v>29239.12</v>
      </c>
      <c r="E174" s="19">
        <v>0.8685</v>
      </c>
      <c r="F174" s="19">
        <v>0.069</v>
      </c>
      <c r="G174" s="17">
        <v>1776880.75</v>
      </c>
      <c r="H174" s="17">
        <v>2157191.37</v>
      </c>
      <c r="I174" s="8" t="s">
        <v>125</v>
      </c>
    </row>
    <row r="175" ht="15" customHeight="1">
      <c r="A175" s="7">
        <v>173</v>
      </c>
      <c r="B175" s="18">
        <v>0.6547</v>
      </c>
      <c r="C175" s="18">
        <v>1.1426</v>
      </c>
      <c r="D175" s="16">
        <v>22632.48</v>
      </c>
      <c r="E175" s="18">
        <v>0.9077</v>
      </c>
      <c r="F175" s="18">
        <v>0.1037</v>
      </c>
      <c r="G175" s="16">
        <v>3998654.08</v>
      </c>
      <c r="H175" s="16">
        <v>4784078.2</v>
      </c>
      <c r="I175" s="7" t="s">
        <v>125</v>
      </c>
    </row>
    <row r="176" ht="15" customHeight="1">
      <c r="A176" s="8">
        <v>174</v>
      </c>
      <c r="B176" s="19">
        <v>0.4612</v>
      </c>
      <c r="C176" s="19">
        <v>1.1147</v>
      </c>
      <c r="D176" s="17">
        <v>25544.32</v>
      </c>
      <c r="E176" s="19">
        <v>0.9681</v>
      </c>
      <c r="F176" s="19">
        <v>0.0995</v>
      </c>
      <c r="G176" s="17">
        <v>2542455.61</v>
      </c>
      <c r="H176" s="17">
        <v>3066521.35</v>
      </c>
      <c r="I176" s="8" t="s">
        <v>125</v>
      </c>
    </row>
    <row r="177" ht="15" customHeight="1">
      <c r="A177" s="7">
        <v>175</v>
      </c>
      <c r="B177" s="18">
        <v>0.5197</v>
      </c>
      <c r="C177" s="18">
        <v>0.9329</v>
      </c>
      <c r="D177" s="16">
        <v>28302.22</v>
      </c>
      <c r="E177" s="18">
        <v>0.9246</v>
      </c>
      <c r="F177" s="18">
        <v>0.1104</v>
      </c>
      <c r="G177" s="16">
        <v>2139657</v>
      </c>
      <c r="H177" s="16">
        <v>2595479.32</v>
      </c>
      <c r="I177" s="7" t="s">
        <v>125</v>
      </c>
    </row>
    <row r="178" ht="15" customHeight="1">
      <c r="A178" s="8">
        <v>176</v>
      </c>
      <c r="B178" s="19">
        <v>0.578</v>
      </c>
      <c r="C178" s="19">
        <v>0.954</v>
      </c>
      <c r="D178" s="17">
        <v>29688.15</v>
      </c>
      <c r="E178" s="19">
        <v>0.9105</v>
      </c>
      <c r="F178" s="19">
        <v>0.0593</v>
      </c>
      <c r="G178" s="17">
        <v>2253285.02</v>
      </c>
      <c r="H178" s="17">
        <v>2714678.58</v>
      </c>
      <c r="I178" s="8" t="s">
        <v>125</v>
      </c>
    </row>
    <row r="179" ht="15" customHeight="1">
      <c r="A179" s="7">
        <v>177</v>
      </c>
      <c r="B179" s="18">
        <v>0.365</v>
      </c>
      <c r="C179" s="18">
        <v>0.7014</v>
      </c>
      <c r="D179" s="16">
        <v>25427.1</v>
      </c>
      <c r="E179" s="18">
        <v>0.8695</v>
      </c>
      <c r="F179" s="18">
        <v>0.1022</v>
      </c>
      <c r="G179" s="16">
        <v>518553.19</v>
      </c>
      <c r="H179" s="16">
        <v>681061.03</v>
      </c>
      <c r="I179" s="7" t="s">
        <v>125</v>
      </c>
    </row>
    <row r="180" ht="15" customHeight="1">
      <c r="A180" s="8">
        <v>178</v>
      </c>
      <c r="B180" s="19">
        <v>0.605</v>
      </c>
      <c r="C180" s="19">
        <v>0.6215</v>
      </c>
      <c r="D180" s="17">
        <v>27159.98</v>
      </c>
      <c r="E180" s="19">
        <v>0.7899</v>
      </c>
      <c r="F180" s="19">
        <v>0.0147</v>
      </c>
      <c r="G180" s="17">
        <v>772560.75</v>
      </c>
      <c r="H180" s="17">
        <v>966117.18</v>
      </c>
      <c r="I180" s="8" t="s">
        <v>125</v>
      </c>
    </row>
    <row r="181" ht="15" customHeight="1">
      <c r="A181" s="7">
        <v>179</v>
      </c>
      <c r="B181" s="18">
        <v>0.5413</v>
      </c>
      <c r="C181" s="18">
        <v>1.2681</v>
      </c>
      <c r="D181" s="16">
        <v>23389.91</v>
      </c>
      <c r="E181" s="18">
        <v>0.9485</v>
      </c>
      <c r="F181" s="18">
        <v>0.1422</v>
      </c>
      <c r="G181" s="16">
        <v>4018210.38</v>
      </c>
      <c r="H181" s="16">
        <v>4823461.34</v>
      </c>
      <c r="I181" s="7" t="s">
        <v>125</v>
      </c>
    </row>
    <row r="182" ht="15" customHeight="1">
      <c r="A182" s="8">
        <v>180</v>
      </c>
      <c r="B182" s="19">
        <v>0.5022</v>
      </c>
      <c r="C182" s="19">
        <v>1.1766</v>
      </c>
      <c r="D182" s="17">
        <v>24010.08</v>
      </c>
      <c r="E182" s="19">
        <v>0.9182</v>
      </c>
      <c r="F182" s="19">
        <v>0.1338</v>
      </c>
      <c r="G182" s="17">
        <v>3104435.3</v>
      </c>
      <c r="H182" s="17">
        <v>3740449.51</v>
      </c>
      <c r="I182" s="8" t="s">
        <v>125</v>
      </c>
    </row>
    <row r="183" ht="15" customHeight="1">
      <c r="A183" s="7">
        <v>181</v>
      </c>
      <c r="B183" s="18">
        <v>0.6122</v>
      </c>
      <c r="C183" s="18">
        <v>1.1482</v>
      </c>
      <c r="D183" s="16">
        <v>28397.58</v>
      </c>
      <c r="E183" s="18">
        <v>0.9017</v>
      </c>
      <c r="F183" s="18">
        <v>0.0749</v>
      </c>
      <c r="G183" s="16">
        <v>3309439.06</v>
      </c>
      <c r="H183" s="16">
        <v>3961947.2</v>
      </c>
      <c r="I183" s="7" t="s">
        <v>125</v>
      </c>
    </row>
    <row r="184" ht="15" customHeight="1">
      <c r="A184" s="8">
        <v>182</v>
      </c>
      <c r="B184" s="19">
        <v>0.6714</v>
      </c>
      <c r="C184" s="19">
        <v>1.3675</v>
      </c>
      <c r="D184" s="17">
        <v>28124.57</v>
      </c>
      <c r="E184" s="19">
        <v>0.7935</v>
      </c>
      <c r="F184" s="19">
        <v>0.0811</v>
      </c>
      <c r="G184" s="17">
        <v>4038324.7</v>
      </c>
      <c r="H184" s="17">
        <v>4822358.12</v>
      </c>
      <c r="I184" s="8" t="s">
        <v>125</v>
      </c>
    </row>
    <row r="185" ht="15" customHeight="1">
      <c r="A185" s="7">
        <v>183</v>
      </c>
      <c r="B185" s="18">
        <v>0.531</v>
      </c>
      <c r="C185" s="18">
        <v>1.2612</v>
      </c>
      <c r="D185" s="16">
        <v>28514.75</v>
      </c>
      <c r="E185" s="18">
        <v>0.9514</v>
      </c>
      <c r="F185" s="18">
        <v>0.1143</v>
      </c>
      <c r="G185" s="16">
        <v>3573135.77</v>
      </c>
      <c r="H185" s="16">
        <v>4288186.91</v>
      </c>
      <c r="I185" s="7" t="s">
        <v>125</v>
      </c>
    </row>
    <row r="186" ht="15" customHeight="1">
      <c r="A186" s="8">
        <v>184</v>
      </c>
      <c r="B186" s="19">
        <v>0.4465</v>
      </c>
      <c r="C186" s="19">
        <v>0.9899</v>
      </c>
      <c r="D186" s="17">
        <v>20043.43</v>
      </c>
      <c r="E186" s="19">
        <v>0.8958</v>
      </c>
      <c r="F186" s="19">
        <v>0.0675</v>
      </c>
      <c r="G186" s="17">
        <v>1836896.03</v>
      </c>
      <c r="H186" s="17">
        <v>2225672.48</v>
      </c>
      <c r="I186" s="8" t="s">
        <v>125</v>
      </c>
    </row>
    <row r="187" ht="15" customHeight="1">
      <c r="A187" s="7">
        <v>185</v>
      </c>
      <c r="B187" s="18">
        <v>0.5912</v>
      </c>
      <c r="C187" s="18">
        <v>0.8976</v>
      </c>
      <c r="D187" s="16">
        <v>29447.21</v>
      </c>
      <c r="E187" s="18">
        <v>0.8445</v>
      </c>
      <c r="F187" s="18">
        <v>0.0815</v>
      </c>
      <c r="G187" s="16">
        <v>1977137.91</v>
      </c>
      <c r="H187" s="16">
        <v>2396230.5</v>
      </c>
      <c r="I187" s="7" t="s">
        <v>125</v>
      </c>
    </row>
    <row r="188" ht="15" customHeight="1">
      <c r="A188" s="8">
        <v>186</v>
      </c>
      <c r="B188" s="19">
        <v>0.477</v>
      </c>
      <c r="C188" s="19">
        <v>1.3711</v>
      </c>
      <c r="D188" s="17">
        <v>29293.93</v>
      </c>
      <c r="E188" s="19">
        <v>0.8834</v>
      </c>
      <c r="F188" s="19">
        <v>0.0829</v>
      </c>
      <c r="G188" s="17">
        <v>2924598.74</v>
      </c>
      <c r="H188" s="17">
        <v>3512121.55</v>
      </c>
      <c r="I188" s="8" t="s">
        <v>125</v>
      </c>
    </row>
    <row r="189" ht="15" customHeight="1">
      <c r="A189" s="7">
        <v>187</v>
      </c>
      <c r="B189" s="18">
        <v>0.3869</v>
      </c>
      <c r="C189" s="18">
        <v>1.09</v>
      </c>
      <c r="D189" s="16">
        <v>25843.97</v>
      </c>
      <c r="E189" s="18">
        <v>0.8572</v>
      </c>
      <c r="F189" s="18">
        <v>0.1224</v>
      </c>
      <c r="G189" s="16">
        <v>1607670.13</v>
      </c>
      <c r="H189" s="16">
        <v>1969894.61</v>
      </c>
      <c r="I189" s="7" t="s">
        <v>125</v>
      </c>
    </row>
    <row r="190" ht="15" customHeight="1">
      <c r="A190" s="8">
        <v>188</v>
      </c>
      <c r="B190" s="19">
        <v>0.6003</v>
      </c>
      <c r="C190" s="19">
        <v>0.907</v>
      </c>
      <c r="D190" s="17">
        <v>25179.85</v>
      </c>
      <c r="E190" s="19">
        <v>0.7949</v>
      </c>
      <c r="F190" s="19">
        <v>0.1002</v>
      </c>
      <c r="G190" s="17">
        <v>2076692.14</v>
      </c>
      <c r="H190" s="17">
        <v>2517564.04</v>
      </c>
      <c r="I190" s="8" t="s">
        <v>125</v>
      </c>
    </row>
    <row r="191" ht="15" customHeight="1">
      <c r="A191" s="7">
        <v>189</v>
      </c>
      <c r="B191" s="18">
        <v>0.536</v>
      </c>
      <c r="C191" s="18">
        <v>1.284</v>
      </c>
      <c r="D191" s="16">
        <v>33508.44</v>
      </c>
      <c r="E191" s="18">
        <v>0.8962</v>
      </c>
      <c r="F191" s="18">
        <v>0.0886</v>
      </c>
      <c r="G191" s="16">
        <v>3111490.86</v>
      </c>
      <c r="H191" s="16">
        <v>3735285.1</v>
      </c>
      <c r="I191" s="7" t="s">
        <v>125</v>
      </c>
    </row>
    <row r="192" ht="15" customHeight="1">
      <c r="A192" s="8">
        <v>190</v>
      </c>
      <c r="B192" s="19">
        <v>0.4195</v>
      </c>
      <c r="C192" s="19">
        <v>1.0443</v>
      </c>
      <c r="D192" s="17">
        <v>31700.32</v>
      </c>
      <c r="E192" s="19">
        <v>0.877</v>
      </c>
      <c r="F192" s="19">
        <v>0.0737</v>
      </c>
      <c r="G192" s="17">
        <v>1418422.53</v>
      </c>
      <c r="H192" s="17">
        <v>1737141.19</v>
      </c>
      <c r="I192" s="8" t="s">
        <v>125</v>
      </c>
    </row>
    <row r="193" ht="15" customHeight="1">
      <c r="A193" s="7">
        <v>191</v>
      </c>
      <c r="B193" s="18">
        <v>0.6322</v>
      </c>
      <c r="C193" s="18">
        <v>0.9464</v>
      </c>
      <c r="D193" s="16">
        <v>28260.19</v>
      </c>
      <c r="E193" s="18">
        <v>0.9137</v>
      </c>
      <c r="F193" s="18">
        <v>0.1474</v>
      </c>
      <c r="G193" s="16">
        <v>3081009.78</v>
      </c>
      <c r="H193" s="16">
        <v>3719002.11</v>
      </c>
      <c r="I193" s="7" t="s">
        <v>125</v>
      </c>
    </row>
    <row r="194" ht="15" customHeight="1">
      <c r="A194" s="8">
        <v>192</v>
      </c>
      <c r="B194" s="19">
        <v>0.4901</v>
      </c>
      <c r="C194" s="19">
        <v>0.8536</v>
      </c>
      <c r="D194" s="17">
        <v>24735.19</v>
      </c>
      <c r="E194" s="19">
        <v>0.9203</v>
      </c>
      <c r="F194" s="19">
        <v>0.0379</v>
      </c>
      <c r="G194" s="17">
        <v>1508904.33</v>
      </c>
      <c r="H194" s="17">
        <v>1834013.14</v>
      </c>
      <c r="I194" s="8" t="s">
        <v>125</v>
      </c>
    </row>
    <row r="195" ht="15" customHeight="1">
      <c r="A195" s="7">
        <v>193</v>
      </c>
      <c r="B195" s="18">
        <v>0.7308</v>
      </c>
      <c r="C195" s="18">
        <v>0.8711</v>
      </c>
      <c r="D195" s="16">
        <v>20255.51</v>
      </c>
      <c r="E195" s="18">
        <v>0.9615</v>
      </c>
      <c r="F195" s="18">
        <v>0.186</v>
      </c>
      <c r="G195" s="16">
        <v>4086001.09</v>
      </c>
      <c r="H195" s="16">
        <v>4919993</v>
      </c>
      <c r="I195" s="7" t="s">
        <v>125</v>
      </c>
    </row>
    <row r="196" ht="15" customHeight="1">
      <c r="A196" s="8">
        <v>194</v>
      </c>
      <c r="B196" s="19">
        <v>0.6982</v>
      </c>
      <c r="C196" s="19">
        <v>0.8736</v>
      </c>
      <c r="D196" s="17">
        <v>32283.89</v>
      </c>
      <c r="E196" s="19">
        <v>0.9655</v>
      </c>
      <c r="F196" s="19">
        <v>0.0949</v>
      </c>
      <c r="G196" s="17">
        <v>2981903.39</v>
      </c>
      <c r="H196" s="17">
        <v>3584660.65</v>
      </c>
      <c r="I196" s="8" t="s">
        <v>125</v>
      </c>
    </row>
    <row r="197" ht="15" customHeight="1">
      <c r="A197" s="7">
        <v>195</v>
      </c>
      <c r="B197" s="18">
        <v>0.6514</v>
      </c>
      <c r="C197" s="18">
        <v>0.9667</v>
      </c>
      <c r="D197" s="16">
        <v>31979.17</v>
      </c>
      <c r="E197" s="18">
        <v>0.9476</v>
      </c>
      <c r="F197" s="18">
        <v>0.0802</v>
      </c>
      <c r="G197" s="16">
        <v>2963840.86</v>
      </c>
      <c r="H197" s="16">
        <v>3557940.86</v>
      </c>
      <c r="I197" s="7" t="s">
        <v>125</v>
      </c>
    </row>
    <row r="198" ht="15" customHeight="1">
      <c r="A198" s="8">
        <v>196</v>
      </c>
      <c r="B198" s="19">
        <v>0.7</v>
      </c>
      <c r="C198" s="19">
        <v>1.2265</v>
      </c>
      <c r="D198" s="17">
        <v>29149.87</v>
      </c>
      <c r="E198" s="19">
        <v>0.9188</v>
      </c>
      <c r="F198" s="19">
        <v>0.0803</v>
      </c>
      <c r="G198" s="17">
        <v>4436048.43</v>
      </c>
      <c r="H198" s="17">
        <v>5290426.68</v>
      </c>
      <c r="I198" s="8" t="s">
        <v>125</v>
      </c>
    </row>
    <row r="199" ht="15" customHeight="1">
      <c r="A199" s="7">
        <v>197</v>
      </c>
      <c r="B199" s="18">
        <v>0.6441</v>
      </c>
      <c r="C199" s="18">
        <v>0.9958</v>
      </c>
      <c r="D199" s="16">
        <v>28970.35</v>
      </c>
      <c r="E199" s="18">
        <v>0.9473</v>
      </c>
      <c r="F199" s="18">
        <v>0.0349</v>
      </c>
      <c r="G199" s="16">
        <v>2876540.3</v>
      </c>
      <c r="H199" s="16">
        <v>3438301.06</v>
      </c>
      <c r="I199" s="7" t="s">
        <v>125</v>
      </c>
    </row>
    <row r="200" ht="15" customHeight="1">
      <c r="A200" s="8">
        <v>198</v>
      </c>
      <c r="B200" s="19">
        <v>0.7508</v>
      </c>
      <c r="C200" s="19">
        <v>0.908</v>
      </c>
      <c r="D200" s="17">
        <v>32741.77</v>
      </c>
      <c r="E200" s="19">
        <v>0.8405</v>
      </c>
      <c r="F200" s="19">
        <v>0.0898</v>
      </c>
      <c r="G200" s="17">
        <v>2822701.51</v>
      </c>
      <c r="H200" s="17">
        <v>3395378.89</v>
      </c>
      <c r="I200" s="8" t="s">
        <v>125</v>
      </c>
    </row>
    <row r="201" ht="15" customHeight="1">
      <c r="A201" s="7">
        <v>199</v>
      </c>
      <c r="B201" s="18">
        <v>0.704</v>
      </c>
      <c r="C201" s="18">
        <v>0.7244</v>
      </c>
      <c r="D201" s="16">
        <v>31104.77</v>
      </c>
      <c r="E201" s="18">
        <v>0.7806</v>
      </c>
      <c r="F201" s="18">
        <v>-0.0119</v>
      </c>
      <c r="G201" s="16">
        <v>1222899.66</v>
      </c>
      <c r="H201" s="16">
        <v>1487663.55</v>
      </c>
      <c r="I201" s="7" t="s">
        <v>125</v>
      </c>
    </row>
    <row r="202" ht="15" customHeight="1">
      <c r="A202" s="8">
        <v>200</v>
      </c>
      <c r="B202" s="19">
        <v>0.7973</v>
      </c>
      <c r="C202" s="19">
        <v>1.0981</v>
      </c>
      <c r="D202" s="17">
        <v>28900.94</v>
      </c>
      <c r="E202" s="19">
        <v>0.8936</v>
      </c>
      <c r="F202" s="19">
        <v>0.1146</v>
      </c>
      <c r="G202" s="17">
        <v>4658546.21</v>
      </c>
      <c r="H202" s="17">
        <v>5569318.5</v>
      </c>
      <c r="I202" s="8" t="s">
        <v>125</v>
      </c>
    </row>
    <row r="203" ht="15" customHeight="1">
      <c r="A203" s="7">
        <v>201</v>
      </c>
      <c r="B203" s="18">
        <v>0.5214</v>
      </c>
      <c r="C203" s="18">
        <v>1.1899</v>
      </c>
      <c r="D203" s="16">
        <v>23639.92</v>
      </c>
      <c r="E203" s="18">
        <v>0.9494</v>
      </c>
      <c r="F203" s="18">
        <v>0.0996</v>
      </c>
      <c r="G203" s="16">
        <v>3275871.26</v>
      </c>
      <c r="H203" s="16">
        <v>3930602.74</v>
      </c>
      <c r="I203" s="7" t="s">
        <v>125</v>
      </c>
    </row>
    <row r="204" ht="15" customHeight="1">
      <c r="A204" s="8">
        <v>202</v>
      </c>
      <c r="B204" s="19">
        <v>0.4156</v>
      </c>
      <c r="C204" s="19">
        <v>1.0276</v>
      </c>
      <c r="D204" s="17">
        <v>27897.02</v>
      </c>
      <c r="E204" s="19">
        <v>0.8402</v>
      </c>
      <c r="F204" s="19">
        <v>0.15</v>
      </c>
      <c r="G204" s="17">
        <v>1623793.8</v>
      </c>
      <c r="H204" s="17">
        <v>1995953.84</v>
      </c>
      <c r="I204" s="8" t="s">
        <v>125</v>
      </c>
    </row>
    <row r="205" ht="15" customHeight="1">
      <c r="A205" s="7">
        <v>203</v>
      </c>
      <c r="B205" s="18">
        <v>0.6359</v>
      </c>
      <c r="C205" s="18">
        <v>0.7375</v>
      </c>
      <c r="D205" s="16">
        <v>20340.08</v>
      </c>
      <c r="E205" s="18">
        <v>0.8738</v>
      </c>
      <c r="F205" s="18">
        <v>0.1509</v>
      </c>
      <c r="G205" s="16">
        <v>2262804.74</v>
      </c>
      <c r="H205" s="16">
        <v>2749122.21</v>
      </c>
      <c r="I205" s="7" t="s">
        <v>125</v>
      </c>
    </row>
    <row r="206" ht="15" customHeight="1">
      <c r="A206" s="8">
        <v>204</v>
      </c>
      <c r="B206" s="19">
        <v>0.6298</v>
      </c>
      <c r="C206" s="19">
        <v>1.0548</v>
      </c>
      <c r="D206" s="17">
        <v>20814.57</v>
      </c>
      <c r="E206" s="19">
        <v>0.9219</v>
      </c>
      <c r="F206" s="19">
        <v>0.1433</v>
      </c>
      <c r="G206" s="17">
        <v>3801935.92</v>
      </c>
      <c r="H206" s="17">
        <v>4567191.6</v>
      </c>
      <c r="I206" s="8" t="s">
        <v>125</v>
      </c>
    </row>
    <row r="207" ht="15" customHeight="1">
      <c r="A207" s="7">
        <v>205</v>
      </c>
      <c r="B207" s="18">
        <v>0.5915</v>
      </c>
      <c r="C207" s="18">
        <v>1.0028</v>
      </c>
      <c r="D207" s="16">
        <v>33145.14</v>
      </c>
      <c r="E207" s="18">
        <v>0.79</v>
      </c>
      <c r="F207" s="18">
        <v>0.1137</v>
      </c>
      <c r="G207" s="16">
        <v>2157808.85</v>
      </c>
      <c r="H207" s="16">
        <v>2619295.59</v>
      </c>
      <c r="I207" s="7" t="s">
        <v>125</v>
      </c>
    </row>
    <row r="208" ht="15" customHeight="1">
      <c r="A208" s="8">
        <v>206</v>
      </c>
      <c r="B208" s="19">
        <v>0.5657</v>
      </c>
      <c r="C208" s="19">
        <v>1.0107</v>
      </c>
      <c r="D208" s="17">
        <v>27232.13</v>
      </c>
      <c r="E208" s="19">
        <v>0.8575</v>
      </c>
      <c r="F208" s="19">
        <v>0.1049</v>
      </c>
      <c r="G208" s="17">
        <v>2460721.16</v>
      </c>
      <c r="H208" s="17">
        <v>2972259.8</v>
      </c>
      <c r="I208" s="8" t="s">
        <v>125</v>
      </c>
    </row>
    <row r="209" ht="15" customHeight="1">
      <c r="A209" s="7">
        <v>207</v>
      </c>
      <c r="B209" s="18">
        <v>0.6926</v>
      </c>
      <c r="C209" s="18">
        <v>0.9879</v>
      </c>
      <c r="D209" s="16">
        <v>30672.23</v>
      </c>
      <c r="E209" s="18">
        <v>0.8313</v>
      </c>
      <c r="F209" s="18">
        <v>0.0662</v>
      </c>
      <c r="G209" s="16">
        <v>2726729.5</v>
      </c>
      <c r="H209" s="16">
        <v>3273698.68</v>
      </c>
      <c r="I209" s="7" t="s">
        <v>125</v>
      </c>
    </row>
    <row r="210" ht="15" customHeight="1">
      <c r="A210" s="8">
        <v>208</v>
      </c>
      <c r="B210" s="19">
        <v>0.7118</v>
      </c>
      <c r="C210" s="19">
        <v>1.0532</v>
      </c>
      <c r="D210" s="17">
        <v>24539.77</v>
      </c>
      <c r="E210" s="19">
        <v>0.8056</v>
      </c>
      <c r="F210" s="19">
        <v>0.0675</v>
      </c>
      <c r="G210" s="17">
        <v>3171919.41</v>
      </c>
      <c r="H210" s="17">
        <v>3796630</v>
      </c>
      <c r="I210" s="8" t="s">
        <v>125</v>
      </c>
    </row>
    <row r="211" ht="15" customHeight="1">
      <c r="A211" s="7">
        <v>209</v>
      </c>
      <c r="B211" s="18">
        <v>0.618</v>
      </c>
      <c r="C211" s="18">
        <v>1.0521</v>
      </c>
      <c r="D211" s="16">
        <v>25902.96</v>
      </c>
      <c r="E211" s="18">
        <v>0.9285</v>
      </c>
      <c r="F211" s="18">
        <v>0.0761</v>
      </c>
      <c r="G211" s="16">
        <v>3178126.01</v>
      </c>
      <c r="H211" s="16">
        <v>3807366.8</v>
      </c>
      <c r="I211" s="7" t="s">
        <v>125</v>
      </c>
    </row>
    <row r="212" ht="15" customHeight="1">
      <c r="A212" s="8">
        <v>210</v>
      </c>
      <c r="B212" s="19">
        <v>0.4479</v>
      </c>
      <c r="C212" s="19">
        <v>0.8</v>
      </c>
      <c r="D212" s="17">
        <v>39171.59</v>
      </c>
      <c r="E212" s="19">
        <v>0.863</v>
      </c>
      <c r="F212" s="19">
        <v>0.0229</v>
      </c>
      <c r="G212" s="17">
        <v>506729.92</v>
      </c>
      <c r="H212" s="17">
        <v>656732.43</v>
      </c>
      <c r="I212" s="8" t="s">
        <v>125</v>
      </c>
    </row>
    <row r="213" ht="15" customHeight="1">
      <c r="A213" s="7">
        <v>211</v>
      </c>
      <c r="B213" s="18">
        <v>0.4159</v>
      </c>
      <c r="C213" s="18">
        <v>1.1694</v>
      </c>
      <c r="D213" s="16">
        <v>15261.67</v>
      </c>
      <c r="E213" s="18">
        <v>0.9573</v>
      </c>
      <c r="F213" s="18">
        <v>0.0244</v>
      </c>
      <c r="G213" s="16">
        <v>2290804.29</v>
      </c>
      <c r="H213" s="16">
        <v>2746850.74</v>
      </c>
      <c r="I213" s="7" t="s">
        <v>125</v>
      </c>
    </row>
    <row r="214" ht="15" customHeight="1">
      <c r="A214" s="8">
        <v>212</v>
      </c>
      <c r="B214" s="19">
        <v>0.5138</v>
      </c>
      <c r="C214" s="19">
        <v>1.2646</v>
      </c>
      <c r="D214" s="17">
        <v>21837.38</v>
      </c>
      <c r="E214" s="19">
        <v>0.9139</v>
      </c>
      <c r="F214" s="19">
        <v>0.1248</v>
      </c>
      <c r="G214" s="17">
        <v>3514295.11</v>
      </c>
      <c r="H214" s="17">
        <v>4220661.79</v>
      </c>
      <c r="I214" s="8" t="s">
        <v>125</v>
      </c>
    </row>
    <row r="215" ht="15" customHeight="1">
      <c r="A215" s="7">
        <v>213</v>
      </c>
      <c r="B215" s="18">
        <v>0.6901</v>
      </c>
      <c r="C215" s="18">
        <v>1.1895</v>
      </c>
      <c r="D215" s="16">
        <v>31339.38</v>
      </c>
      <c r="E215" s="18">
        <v>0.9399</v>
      </c>
      <c r="F215" s="18">
        <v>0.1199</v>
      </c>
      <c r="G215" s="16">
        <v>4541638.95</v>
      </c>
      <c r="H215" s="16">
        <v>5434638.02</v>
      </c>
      <c r="I215" s="7" t="s">
        <v>125</v>
      </c>
    </row>
    <row r="216" ht="15" customHeight="1">
      <c r="A216" s="8">
        <v>214</v>
      </c>
      <c r="B216" s="19">
        <v>0.3949</v>
      </c>
      <c r="C216" s="19">
        <v>1.036</v>
      </c>
      <c r="D216" s="17">
        <v>29176.44</v>
      </c>
      <c r="E216" s="19">
        <v>0.8137</v>
      </c>
      <c r="F216" s="19">
        <v>0.1386</v>
      </c>
      <c r="G216" s="17">
        <v>1340795.16</v>
      </c>
      <c r="H216" s="17">
        <v>1659295.18</v>
      </c>
      <c r="I216" s="8" t="s">
        <v>125</v>
      </c>
    </row>
    <row r="217" ht="15" customHeight="1">
      <c r="A217" s="7">
        <v>215</v>
      </c>
      <c r="B217" s="18">
        <v>0.6431</v>
      </c>
      <c r="C217" s="18">
        <v>1.0054</v>
      </c>
      <c r="D217" s="16">
        <v>29416.46</v>
      </c>
      <c r="E217" s="18">
        <v>0.8617</v>
      </c>
      <c r="F217" s="18">
        <v>0.0521</v>
      </c>
      <c r="G217" s="16">
        <v>2609608.46</v>
      </c>
      <c r="H217" s="16">
        <v>3131023.08</v>
      </c>
      <c r="I217" s="7" t="s">
        <v>125</v>
      </c>
    </row>
    <row r="218" ht="15" customHeight="1">
      <c r="A218" s="8">
        <v>216</v>
      </c>
      <c r="B218" s="19">
        <v>0.5168</v>
      </c>
      <c r="C218" s="19">
        <v>1.1137</v>
      </c>
      <c r="D218" s="17">
        <v>27998.24</v>
      </c>
      <c r="E218" s="19">
        <v>0.9375</v>
      </c>
      <c r="F218" s="19">
        <v>0.1122</v>
      </c>
      <c r="G218" s="17">
        <v>2843226.48</v>
      </c>
      <c r="H218" s="17">
        <v>3426001.53</v>
      </c>
      <c r="I218" s="8" t="s">
        <v>125</v>
      </c>
    </row>
    <row r="219" ht="15" customHeight="1">
      <c r="A219" s="7">
        <v>217</v>
      </c>
      <c r="B219" s="18">
        <v>0.6736</v>
      </c>
      <c r="C219" s="18">
        <v>0.9147</v>
      </c>
      <c r="D219" s="16">
        <v>27925.46</v>
      </c>
      <c r="E219" s="18">
        <v>0.8469</v>
      </c>
      <c r="F219" s="18">
        <v>0.0799</v>
      </c>
      <c r="G219" s="16">
        <v>2547613.56</v>
      </c>
      <c r="H219" s="16">
        <v>3066980.81</v>
      </c>
      <c r="I219" s="7" t="s">
        <v>125</v>
      </c>
    </row>
    <row r="220" ht="15" customHeight="1">
      <c r="A220" s="8">
        <v>218</v>
      </c>
      <c r="B220" s="19">
        <v>0.6407</v>
      </c>
      <c r="C220" s="19">
        <v>1.1911</v>
      </c>
      <c r="D220" s="17">
        <v>31000.07</v>
      </c>
      <c r="E220" s="19">
        <v>0.933</v>
      </c>
      <c r="F220" s="19">
        <v>0.0414</v>
      </c>
      <c r="G220" s="17">
        <v>3564379.37</v>
      </c>
      <c r="H220" s="17">
        <v>4248283.08</v>
      </c>
      <c r="I220" s="8" t="s">
        <v>125</v>
      </c>
    </row>
    <row r="221" ht="15" customHeight="1">
      <c r="A221" s="7">
        <v>219</v>
      </c>
      <c r="B221" s="18">
        <v>0.5112</v>
      </c>
      <c r="C221" s="18">
        <v>0.6144</v>
      </c>
      <c r="D221" s="16">
        <v>27108.37</v>
      </c>
      <c r="E221" s="18">
        <v>0.7995</v>
      </c>
      <c r="F221" s="18">
        <v>0.0487</v>
      </c>
      <c r="G221" s="16">
        <v>549882.25</v>
      </c>
      <c r="H221" s="16">
        <v>710503.99</v>
      </c>
      <c r="I221" s="7" t="s">
        <v>125</v>
      </c>
    </row>
    <row r="222" ht="15" customHeight="1">
      <c r="A222" s="8">
        <v>220</v>
      </c>
      <c r="B222" s="19">
        <v>0.6809</v>
      </c>
      <c r="C222" s="19">
        <v>1.1215</v>
      </c>
      <c r="D222" s="17">
        <v>33659.49</v>
      </c>
      <c r="E222" s="19">
        <v>0.8901</v>
      </c>
      <c r="F222" s="19">
        <v>0.0782</v>
      </c>
      <c r="G222" s="17">
        <v>3496829.61</v>
      </c>
      <c r="H222" s="17">
        <v>4184886.38</v>
      </c>
      <c r="I222" s="8" t="s">
        <v>125</v>
      </c>
    </row>
    <row r="223" ht="15" customHeight="1">
      <c r="A223" s="7">
        <v>221</v>
      </c>
      <c r="B223" s="18">
        <v>0.6199</v>
      </c>
      <c r="C223" s="18">
        <v>1.0617</v>
      </c>
      <c r="D223" s="16">
        <v>37009.33</v>
      </c>
      <c r="E223" s="18">
        <v>0.9243</v>
      </c>
      <c r="F223" s="18">
        <v>0.082</v>
      </c>
      <c r="G223" s="16">
        <v>2903429.7</v>
      </c>
      <c r="H223" s="16">
        <v>3488617.7</v>
      </c>
      <c r="I223" s="7" t="s">
        <v>125</v>
      </c>
    </row>
    <row r="224" ht="15" customHeight="1">
      <c r="A224" s="8">
        <v>222</v>
      </c>
      <c r="B224" s="19">
        <v>0.5368</v>
      </c>
      <c r="C224" s="19">
        <v>1.1307</v>
      </c>
      <c r="D224" s="17">
        <v>23572.14</v>
      </c>
      <c r="E224" s="19">
        <v>0.9162</v>
      </c>
      <c r="F224" s="19">
        <v>0.0841</v>
      </c>
      <c r="G224" s="17">
        <v>2951257.74</v>
      </c>
      <c r="H224" s="17">
        <v>3542626.47</v>
      </c>
      <c r="I224" s="8" t="s">
        <v>125</v>
      </c>
    </row>
    <row r="225" ht="15" customHeight="1">
      <c r="A225" s="7">
        <v>223</v>
      </c>
      <c r="B225" s="18">
        <v>0.6909</v>
      </c>
      <c r="C225" s="18">
        <v>1.0162</v>
      </c>
      <c r="D225" s="16">
        <v>29998.03</v>
      </c>
      <c r="E225" s="18">
        <v>0.9339</v>
      </c>
      <c r="F225" s="18">
        <v>0.0978</v>
      </c>
      <c r="G225" s="16">
        <v>3561309.57</v>
      </c>
      <c r="H225" s="16">
        <v>4268030.71</v>
      </c>
      <c r="I225" s="7" t="s">
        <v>125</v>
      </c>
    </row>
    <row r="226" ht="15" customHeight="1">
      <c r="A226" s="8">
        <v>224</v>
      </c>
      <c r="B226" s="19">
        <v>0.6449</v>
      </c>
      <c r="C226" s="19">
        <v>0.9529</v>
      </c>
      <c r="D226" s="17">
        <v>26532.86</v>
      </c>
      <c r="E226" s="19">
        <v>0.9312</v>
      </c>
      <c r="F226" s="19">
        <v>0.1532</v>
      </c>
      <c r="G226" s="17">
        <v>3369349.43</v>
      </c>
      <c r="H226" s="17">
        <v>4061479.79</v>
      </c>
      <c r="I226" s="8" t="s">
        <v>125</v>
      </c>
    </row>
    <row r="227" ht="15" customHeight="1">
      <c r="A227" s="7">
        <v>225</v>
      </c>
      <c r="B227" s="18">
        <v>0.6755</v>
      </c>
      <c r="C227" s="18">
        <v>1.1097</v>
      </c>
      <c r="D227" s="16">
        <v>22373.87</v>
      </c>
      <c r="E227" s="18">
        <v>0.8366</v>
      </c>
      <c r="F227" s="18">
        <v>0.1619</v>
      </c>
      <c r="G227" s="16">
        <v>3987903.81</v>
      </c>
      <c r="H227" s="16">
        <v>4795159.87</v>
      </c>
      <c r="I227" s="7" t="s">
        <v>125</v>
      </c>
    </row>
    <row r="228" ht="15" customHeight="1">
      <c r="A228" s="8">
        <v>226</v>
      </c>
      <c r="B228" s="19">
        <v>0.7554</v>
      </c>
      <c r="C228" s="19">
        <v>0.848</v>
      </c>
      <c r="D228" s="17">
        <v>27889.9</v>
      </c>
      <c r="E228" s="19">
        <v>0.9204</v>
      </c>
      <c r="F228" s="19">
        <v>0.1599</v>
      </c>
      <c r="G228" s="17">
        <v>3505430.87</v>
      </c>
      <c r="H228" s="17">
        <v>4225573.11</v>
      </c>
      <c r="I228" s="8" t="s">
        <v>125</v>
      </c>
    </row>
    <row r="229" ht="15" customHeight="1">
      <c r="A229" s="7">
        <v>227</v>
      </c>
      <c r="B229" s="18">
        <v>0.4946</v>
      </c>
      <c r="C229" s="18">
        <v>0.9355</v>
      </c>
      <c r="D229" s="16">
        <v>36207.7</v>
      </c>
      <c r="E229" s="18">
        <v>0.9205</v>
      </c>
      <c r="F229" s="18">
        <v>0.0923</v>
      </c>
      <c r="G229" s="16">
        <v>1653449.6</v>
      </c>
      <c r="H229" s="16">
        <v>2019502.86</v>
      </c>
      <c r="I229" s="7" t="s">
        <v>125</v>
      </c>
    </row>
    <row r="230" ht="15" customHeight="1">
      <c r="A230" s="8">
        <v>228</v>
      </c>
      <c r="B230" s="19">
        <v>0.6813</v>
      </c>
      <c r="C230" s="19">
        <v>1.2085</v>
      </c>
      <c r="D230" s="17">
        <v>26990.39</v>
      </c>
      <c r="E230" s="19">
        <v>0.789</v>
      </c>
      <c r="F230" s="19">
        <v>0.0483</v>
      </c>
      <c r="G230" s="17">
        <v>3302517.12</v>
      </c>
      <c r="H230" s="17">
        <v>3943153.32</v>
      </c>
      <c r="I230" s="8" t="s">
        <v>125</v>
      </c>
    </row>
    <row r="231" ht="15" customHeight="1">
      <c r="A231" s="7">
        <v>229</v>
      </c>
      <c r="B231" s="18">
        <v>0.7539</v>
      </c>
      <c r="C231" s="18">
        <v>1.1619</v>
      </c>
      <c r="D231" s="16">
        <v>13647.78</v>
      </c>
      <c r="E231" s="18">
        <v>0.8821</v>
      </c>
      <c r="F231" s="18">
        <v>0.0921</v>
      </c>
      <c r="G231" s="16">
        <v>4883955.88</v>
      </c>
      <c r="H231" s="16">
        <v>5819963.2</v>
      </c>
      <c r="I231" s="7" t="s">
        <v>125</v>
      </c>
    </row>
    <row r="232" ht="15" customHeight="1">
      <c r="A232" s="8">
        <v>230</v>
      </c>
      <c r="B232" s="19">
        <v>0.5219</v>
      </c>
      <c r="C232" s="19">
        <v>1.0678</v>
      </c>
      <c r="D232" s="17">
        <v>25881.63</v>
      </c>
      <c r="E232" s="19">
        <v>0.9496</v>
      </c>
      <c r="F232" s="19">
        <v>0.1096</v>
      </c>
      <c r="G232" s="17">
        <v>2816923.58</v>
      </c>
      <c r="H232" s="17">
        <v>3393501.36</v>
      </c>
      <c r="I232" s="8" t="s">
        <v>125</v>
      </c>
    </row>
    <row r="233" ht="15" customHeight="1">
      <c r="A233" s="7">
        <v>231</v>
      </c>
      <c r="B233" s="18">
        <v>0.7592</v>
      </c>
      <c r="C233" s="18">
        <v>0.7996</v>
      </c>
      <c r="D233" s="16">
        <v>31947.45</v>
      </c>
      <c r="E233" s="18">
        <v>0.9025</v>
      </c>
      <c r="F233" s="18">
        <v>0.1319</v>
      </c>
      <c r="G233" s="16">
        <v>2891080.41</v>
      </c>
      <c r="H233" s="16">
        <v>3490494.84</v>
      </c>
      <c r="I233" s="7" t="s">
        <v>125</v>
      </c>
    </row>
    <row r="234" ht="15" customHeight="1">
      <c r="A234" s="8">
        <v>232</v>
      </c>
      <c r="B234" s="19">
        <v>0.6184</v>
      </c>
      <c r="C234" s="19">
        <v>1.2801</v>
      </c>
      <c r="D234" s="17">
        <v>28177.17</v>
      </c>
      <c r="E234" s="19">
        <v>0.8642</v>
      </c>
      <c r="F234" s="19">
        <v>0.0463</v>
      </c>
      <c r="G234" s="17">
        <v>3492173.46</v>
      </c>
      <c r="H234" s="17">
        <v>4165243.14</v>
      </c>
      <c r="I234" s="8" t="s">
        <v>125</v>
      </c>
    </row>
    <row r="235" ht="15" customHeight="1">
      <c r="A235" s="7">
        <v>233</v>
      </c>
      <c r="B235" s="18">
        <v>0.6349</v>
      </c>
      <c r="C235" s="18">
        <v>0.9502</v>
      </c>
      <c r="D235" s="16">
        <v>26192.23</v>
      </c>
      <c r="E235" s="18">
        <v>0.8338</v>
      </c>
      <c r="F235" s="18">
        <v>0.0957</v>
      </c>
      <c r="G235" s="16">
        <v>2542563.37</v>
      </c>
      <c r="H235" s="16">
        <v>3065627.59</v>
      </c>
      <c r="I235" s="7" t="s">
        <v>125</v>
      </c>
    </row>
    <row r="236" ht="15" customHeight="1">
      <c r="A236" s="8">
        <v>234</v>
      </c>
      <c r="B236" s="19">
        <v>0.758</v>
      </c>
      <c r="C236" s="19">
        <v>0.8773</v>
      </c>
      <c r="D236" s="17">
        <v>23706.3</v>
      </c>
      <c r="E236" s="19">
        <v>0.9137</v>
      </c>
      <c r="F236" s="19">
        <v>0.1537</v>
      </c>
      <c r="G236" s="17">
        <v>3739734.22</v>
      </c>
      <c r="H236" s="17">
        <v>4498782.69</v>
      </c>
      <c r="I236" s="8" t="s">
        <v>125</v>
      </c>
    </row>
    <row r="237" ht="15" customHeight="1">
      <c r="A237" s="7">
        <v>235</v>
      </c>
      <c r="B237" s="18">
        <v>0.7213</v>
      </c>
      <c r="C237" s="18">
        <v>0.9848</v>
      </c>
      <c r="D237" s="16">
        <v>27665.95</v>
      </c>
      <c r="E237" s="18">
        <v>0.9554</v>
      </c>
      <c r="F237" s="18">
        <v>0.1243</v>
      </c>
      <c r="G237" s="16">
        <v>3979209.84</v>
      </c>
      <c r="H237" s="16">
        <v>4771392.97</v>
      </c>
      <c r="I237" s="7" t="s">
        <v>125</v>
      </c>
    </row>
    <row r="238" ht="15" customHeight="1">
      <c r="A238" s="8">
        <v>236</v>
      </c>
      <c r="B238" s="19">
        <v>0.6209</v>
      </c>
      <c r="C238" s="19">
        <v>1.0514</v>
      </c>
      <c r="D238" s="17">
        <v>33107.96</v>
      </c>
      <c r="E238" s="19">
        <v>0.9027</v>
      </c>
      <c r="F238" s="19">
        <v>0.1327</v>
      </c>
      <c r="G238" s="17">
        <v>3179438.14</v>
      </c>
      <c r="H238" s="17">
        <v>3831890.08</v>
      </c>
      <c r="I238" s="8" t="s">
        <v>125</v>
      </c>
    </row>
    <row r="239" ht="15" customHeight="1">
      <c r="A239" s="7">
        <v>237</v>
      </c>
      <c r="B239" s="18">
        <v>0.6337</v>
      </c>
      <c r="C239" s="18">
        <v>0.896</v>
      </c>
      <c r="D239" s="16">
        <v>27263.36</v>
      </c>
      <c r="E239" s="18">
        <v>0.9114</v>
      </c>
      <c r="F239" s="18">
        <v>0.0978</v>
      </c>
      <c r="G239" s="16">
        <v>2626998.25</v>
      </c>
      <c r="H239" s="16">
        <v>3166086.83</v>
      </c>
      <c r="I239" s="7" t="s">
        <v>125</v>
      </c>
    </row>
    <row r="240" ht="15" customHeight="1">
      <c r="A240" s="8">
        <v>238</v>
      </c>
      <c r="B240" s="19">
        <v>0.307</v>
      </c>
      <c r="C240" s="19">
        <v>0.9391</v>
      </c>
      <c r="D240" s="17">
        <v>26410.6</v>
      </c>
      <c r="E240" s="19">
        <v>0.8777</v>
      </c>
      <c r="F240" s="19">
        <v>0.1133</v>
      </c>
      <c r="G240" s="17">
        <v>741857.33</v>
      </c>
      <c r="H240" s="17">
        <v>946365.25</v>
      </c>
      <c r="I240" s="8" t="s">
        <v>125</v>
      </c>
    </row>
    <row r="241" ht="15" customHeight="1">
      <c r="A241" s="7">
        <v>239</v>
      </c>
      <c r="B241" s="18">
        <v>0.625</v>
      </c>
      <c r="C241" s="18">
        <v>0.8665</v>
      </c>
      <c r="D241" s="16">
        <v>33065.41</v>
      </c>
      <c r="E241" s="18">
        <v>0.9538</v>
      </c>
      <c r="F241" s="18">
        <v>0.1561</v>
      </c>
      <c r="G241" s="16">
        <v>2742714.15</v>
      </c>
      <c r="H241" s="16">
        <v>3323649.93</v>
      </c>
      <c r="I241" s="7" t="s">
        <v>125</v>
      </c>
    </row>
    <row r="242" ht="15" customHeight="1">
      <c r="A242" s="8">
        <v>240</v>
      </c>
      <c r="B242" s="19">
        <v>0.5976</v>
      </c>
      <c r="C242" s="19">
        <v>0.8836</v>
      </c>
      <c r="D242" s="17">
        <v>31638.14</v>
      </c>
      <c r="E242" s="19">
        <v>0.8687</v>
      </c>
      <c r="F242" s="19">
        <v>0.1274</v>
      </c>
      <c r="G242" s="17">
        <v>2192369.74</v>
      </c>
      <c r="H242" s="17">
        <v>2663593.9</v>
      </c>
      <c r="I242" s="8" t="s">
        <v>125</v>
      </c>
    </row>
    <row r="243" ht="15" customHeight="1">
      <c r="A243" s="7">
        <v>241</v>
      </c>
      <c r="B243" s="18">
        <v>0.5658</v>
      </c>
      <c r="C243" s="18">
        <v>1.0621</v>
      </c>
      <c r="D243" s="16">
        <v>36164.27</v>
      </c>
      <c r="E243" s="18">
        <v>0.9285</v>
      </c>
      <c r="F243" s="18">
        <v>0.0773</v>
      </c>
      <c r="G243" s="16">
        <v>2540525.48</v>
      </c>
      <c r="H243" s="16">
        <v>3059546.06</v>
      </c>
      <c r="I243" s="7" t="s">
        <v>125</v>
      </c>
    </row>
    <row r="244" ht="15" customHeight="1">
      <c r="A244" s="8">
        <v>242</v>
      </c>
      <c r="B244" s="19">
        <v>0.5598</v>
      </c>
      <c r="C244" s="19">
        <v>0.9396</v>
      </c>
      <c r="D244" s="17">
        <v>24794.79</v>
      </c>
      <c r="E244" s="19">
        <v>0.9536</v>
      </c>
      <c r="F244" s="19">
        <v>0.1185</v>
      </c>
      <c r="G244" s="17">
        <v>2687435.46</v>
      </c>
      <c r="H244" s="17">
        <v>3243232.88</v>
      </c>
      <c r="I244" s="8" t="s">
        <v>125</v>
      </c>
    </row>
    <row r="245" ht="15" customHeight="1">
      <c r="A245" s="7">
        <v>243</v>
      </c>
      <c r="B245" s="18">
        <v>0.577</v>
      </c>
      <c r="C245" s="18">
        <v>0.8491</v>
      </c>
      <c r="D245" s="16">
        <v>24769.54</v>
      </c>
      <c r="E245" s="18">
        <v>0.8907</v>
      </c>
      <c r="F245" s="18">
        <v>0.1155</v>
      </c>
      <c r="G245" s="16">
        <v>2181345.11</v>
      </c>
      <c r="H245" s="16">
        <v>2645014.73</v>
      </c>
      <c r="I245" s="7" t="s">
        <v>125</v>
      </c>
    </row>
    <row r="246" ht="15" customHeight="1">
      <c r="A246" s="8">
        <v>244</v>
      </c>
      <c r="B246" s="19">
        <v>0.3697</v>
      </c>
      <c r="C246" s="19">
        <v>0.8089</v>
      </c>
      <c r="D246" s="17">
        <v>20706.68</v>
      </c>
      <c r="E246" s="19">
        <v>0.8689</v>
      </c>
      <c r="F246" s="19">
        <v>0.1809</v>
      </c>
      <c r="G246" s="17">
        <v>1146608.14</v>
      </c>
      <c r="H246" s="17">
        <v>1433831.34</v>
      </c>
      <c r="I246" s="8" t="s">
        <v>125</v>
      </c>
    </row>
    <row r="247" ht="15" customHeight="1">
      <c r="A247" s="7">
        <v>245</v>
      </c>
      <c r="B247" s="18">
        <v>0.639</v>
      </c>
      <c r="C247" s="18">
        <v>0.9666</v>
      </c>
      <c r="D247" s="16">
        <v>29008.81</v>
      </c>
      <c r="E247" s="18">
        <v>0.906</v>
      </c>
      <c r="F247" s="18">
        <v>0.0634</v>
      </c>
      <c r="G247" s="16">
        <v>2698909.53</v>
      </c>
      <c r="H247" s="16">
        <v>3239752.69</v>
      </c>
      <c r="I247" s="7" t="s">
        <v>125</v>
      </c>
    </row>
    <row r="248" ht="15" customHeight="1">
      <c r="A248" s="8">
        <v>246</v>
      </c>
      <c r="B248" s="19">
        <v>0.5594</v>
      </c>
      <c r="C248" s="19">
        <v>0.8922</v>
      </c>
      <c r="D248" s="17">
        <v>32482.28</v>
      </c>
      <c r="E248" s="19">
        <v>0.8679</v>
      </c>
      <c r="F248" s="19">
        <v>0.0649</v>
      </c>
      <c r="G248" s="17">
        <v>1707944.29</v>
      </c>
      <c r="H248" s="17">
        <v>2075640.07</v>
      </c>
      <c r="I248" s="8" t="s">
        <v>125</v>
      </c>
    </row>
    <row r="249" ht="15" customHeight="1">
      <c r="A249" s="7">
        <v>247</v>
      </c>
      <c r="B249" s="18">
        <v>0.5679</v>
      </c>
      <c r="C249" s="18">
        <v>0.9589</v>
      </c>
      <c r="D249" s="16">
        <v>20235.24</v>
      </c>
      <c r="E249" s="18">
        <v>0.7777</v>
      </c>
      <c r="F249" s="18">
        <v>0.1087</v>
      </c>
      <c r="G249" s="16">
        <v>2195175.96</v>
      </c>
      <c r="H249" s="16">
        <v>2658142.9</v>
      </c>
      <c r="I249" s="7" t="s">
        <v>125</v>
      </c>
    </row>
    <row r="250" ht="15" customHeight="1">
      <c r="A250" s="8">
        <v>248</v>
      </c>
      <c r="B250" s="19">
        <v>0.7307</v>
      </c>
      <c r="C250" s="19">
        <v>1.0988</v>
      </c>
      <c r="D250" s="17">
        <v>33367.31</v>
      </c>
      <c r="E250" s="19">
        <v>0.9144</v>
      </c>
      <c r="F250" s="19">
        <v>0.0288</v>
      </c>
      <c r="G250" s="17">
        <v>3558126.63</v>
      </c>
      <c r="H250" s="17">
        <v>4235714.68</v>
      </c>
      <c r="I250" s="8" t="s">
        <v>125</v>
      </c>
    </row>
    <row r="251" ht="15" customHeight="1">
      <c r="A251" s="7">
        <v>249</v>
      </c>
      <c r="B251" s="18">
        <v>0.797</v>
      </c>
      <c r="C251" s="18">
        <v>0.8613</v>
      </c>
      <c r="D251" s="16">
        <v>30910.51</v>
      </c>
      <c r="E251" s="18">
        <v>0.8493</v>
      </c>
      <c r="F251" s="18">
        <v>0.1481</v>
      </c>
      <c r="G251" s="16">
        <v>3289187.26</v>
      </c>
      <c r="H251" s="16">
        <v>3966537.93</v>
      </c>
      <c r="I251" s="7" t="s">
        <v>125</v>
      </c>
    </row>
    <row r="252" ht="15" customHeight="1">
      <c r="A252" s="8">
        <v>250</v>
      </c>
      <c r="B252" s="19">
        <v>0.4233</v>
      </c>
      <c r="C252" s="19">
        <v>1.1482</v>
      </c>
      <c r="D252" s="17">
        <v>24345.24</v>
      </c>
      <c r="E252" s="19">
        <v>0.8146</v>
      </c>
      <c r="F252" s="19">
        <v>0.0977</v>
      </c>
      <c r="G252" s="17">
        <v>1819858.87</v>
      </c>
      <c r="H252" s="17">
        <v>2213936.14</v>
      </c>
      <c r="I252" s="8" t="s">
        <v>125</v>
      </c>
    </row>
    <row r="253" ht="15" customHeight="1">
      <c r="A253" s="7">
        <v>251</v>
      </c>
      <c r="B253" s="18">
        <v>0.6952</v>
      </c>
      <c r="C253" s="18">
        <v>0.7791</v>
      </c>
      <c r="D253" s="16">
        <v>30277.03</v>
      </c>
      <c r="E253" s="18">
        <v>0.9494</v>
      </c>
      <c r="F253" s="18">
        <v>0.1276</v>
      </c>
      <c r="G253" s="16">
        <v>2660726.2</v>
      </c>
      <c r="H253" s="16">
        <v>3216363.16</v>
      </c>
      <c r="I253" s="7" t="s">
        <v>125</v>
      </c>
    </row>
    <row r="254" ht="15" customHeight="1">
      <c r="A254" s="8">
        <v>252</v>
      </c>
      <c r="B254" s="19">
        <v>0.5479</v>
      </c>
      <c r="C254" s="19">
        <v>1.1254</v>
      </c>
      <c r="D254" s="17">
        <v>25271.57</v>
      </c>
      <c r="E254" s="19">
        <v>0.7848</v>
      </c>
      <c r="F254" s="19">
        <v>0.1302</v>
      </c>
      <c r="G254" s="17">
        <v>2594907.69</v>
      </c>
      <c r="H254" s="17">
        <v>3137715.87</v>
      </c>
      <c r="I254" s="8" t="s">
        <v>125</v>
      </c>
    </row>
    <row r="255" ht="15" customHeight="1">
      <c r="A255" s="7">
        <v>253</v>
      </c>
      <c r="B255" s="18">
        <v>0.4991</v>
      </c>
      <c r="C255" s="18">
        <v>0.9896</v>
      </c>
      <c r="D255" s="16">
        <v>28778.93</v>
      </c>
      <c r="E255" s="18">
        <v>0.9118</v>
      </c>
      <c r="F255" s="18">
        <v>0.1211</v>
      </c>
      <c r="G255" s="16">
        <v>2188052.01</v>
      </c>
      <c r="H255" s="16">
        <v>2655733.97</v>
      </c>
      <c r="I255" s="7" t="s">
        <v>125</v>
      </c>
    </row>
    <row r="256" ht="15" customHeight="1">
      <c r="A256" s="8">
        <v>254</v>
      </c>
      <c r="B256" s="19">
        <v>0.7652</v>
      </c>
      <c r="C256" s="19">
        <v>1.0268</v>
      </c>
      <c r="D256" s="17">
        <v>27290.92</v>
      </c>
      <c r="E256" s="19">
        <v>0.9049</v>
      </c>
      <c r="F256" s="19">
        <v>0.0292</v>
      </c>
      <c r="G256" s="17">
        <v>3591639.03</v>
      </c>
      <c r="H256" s="17">
        <v>4274681.47</v>
      </c>
      <c r="I256" s="8" t="s">
        <v>125</v>
      </c>
    </row>
    <row r="257" ht="15" customHeight="1">
      <c r="A257" s="7">
        <v>255</v>
      </c>
      <c r="B257" s="18">
        <v>0.5602</v>
      </c>
      <c r="C257" s="18">
        <v>1.2982</v>
      </c>
      <c r="D257" s="16">
        <v>18493.92</v>
      </c>
      <c r="E257" s="18">
        <v>0.8958</v>
      </c>
      <c r="F257" s="18">
        <v>0.0481</v>
      </c>
      <c r="G257" s="16">
        <v>3575499.71</v>
      </c>
      <c r="H257" s="16">
        <v>4262551.41</v>
      </c>
      <c r="I257" s="7" t="s">
        <v>125</v>
      </c>
    </row>
    <row r="258" ht="15" customHeight="1">
      <c r="A258" s="8">
        <v>256</v>
      </c>
      <c r="B258" s="19">
        <v>0.5159</v>
      </c>
      <c r="C258" s="19">
        <v>0.7858</v>
      </c>
      <c r="D258" s="17">
        <v>30650.88</v>
      </c>
      <c r="E258" s="19">
        <v>0.924</v>
      </c>
      <c r="F258" s="19">
        <v>0.156</v>
      </c>
      <c r="G258" s="17">
        <v>1686425.86</v>
      </c>
      <c r="H258" s="17">
        <v>2072569.8</v>
      </c>
      <c r="I258" s="8" t="s">
        <v>125</v>
      </c>
    </row>
    <row r="259" ht="15" customHeight="1">
      <c r="A259" s="7">
        <v>257</v>
      </c>
      <c r="B259" s="18">
        <v>0.6513</v>
      </c>
      <c r="C259" s="18">
        <v>0.8911</v>
      </c>
      <c r="D259" s="16">
        <v>26503.11</v>
      </c>
      <c r="E259" s="18">
        <v>0.8822</v>
      </c>
      <c r="F259" s="18">
        <v>0.0846</v>
      </c>
      <c r="G259" s="16">
        <v>2544322.15</v>
      </c>
      <c r="H259" s="16">
        <v>3064282.9</v>
      </c>
      <c r="I259" s="7" t="s">
        <v>125</v>
      </c>
    </row>
    <row r="260" ht="15" customHeight="1">
      <c r="A260" s="8">
        <v>258</v>
      </c>
      <c r="B260" s="19">
        <v>0.5033</v>
      </c>
      <c r="C260" s="19">
        <v>0.9324</v>
      </c>
      <c r="D260" s="17">
        <v>28492.73</v>
      </c>
      <c r="E260" s="19">
        <v>0.9237</v>
      </c>
      <c r="F260" s="19">
        <v>0.0896</v>
      </c>
      <c r="G260" s="17">
        <v>1934501.74</v>
      </c>
      <c r="H260" s="17">
        <v>2347988.09</v>
      </c>
      <c r="I260" s="8" t="s">
        <v>125</v>
      </c>
    </row>
    <row r="261" ht="15" customHeight="1">
      <c r="A261" s="7">
        <v>259</v>
      </c>
      <c r="B261" s="18">
        <v>0.5825</v>
      </c>
      <c r="C261" s="18">
        <v>0.9072</v>
      </c>
      <c r="D261" s="16">
        <v>26520.99</v>
      </c>
      <c r="E261" s="18">
        <v>0.9266</v>
      </c>
      <c r="F261" s="18">
        <v>0.0748</v>
      </c>
      <c r="G261" s="16">
        <v>2335724.34</v>
      </c>
      <c r="H261" s="16">
        <v>2815742.9</v>
      </c>
      <c r="I261" s="7" t="s">
        <v>125</v>
      </c>
    </row>
    <row r="262" ht="15" customHeight="1">
      <c r="A262" s="8">
        <v>260</v>
      </c>
      <c r="B262" s="19">
        <v>0.5204</v>
      </c>
      <c r="C262" s="19">
        <v>1.0155</v>
      </c>
      <c r="D262" s="17">
        <v>19103.88</v>
      </c>
      <c r="E262" s="19">
        <v>0.863</v>
      </c>
      <c r="F262" s="19">
        <v>0.1088</v>
      </c>
      <c r="G262" s="17">
        <v>2473859.07</v>
      </c>
      <c r="H262" s="17">
        <v>2986569.11</v>
      </c>
      <c r="I262" s="8" t="s">
        <v>125</v>
      </c>
    </row>
    <row r="263" ht="15" customHeight="1">
      <c r="A263" s="7">
        <v>261</v>
      </c>
      <c r="B263" s="18">
        <v>0.6353</v>
      </c>
      <c r="C263" s="18">
        <v>0.9679</v>
      </c>
      <c r="D263" s="16">
        <v>27880.58</v>
      </c>
      <c r="E263" s="18">
        <v>0.9304</v>
      </c>
      <c r="F263" s="18">
        <v>0.0788</v>
      </c>
      <c r="G263" s="16">
        <v>2905170.14</v>
      </c>
      <c r="H263" s="16">
        <v>3487481.32</v>
      </c>
      <c r="I263" s="7" t="s">
        <v>125</v>
      </c>
    </row>
    <row r="264" ht="15" customHeight="1">
      <c r="A264" s="8">
        <v>262</v>
      </c>
      <c r="B264" s="19">
        <v>0.5546</v>
      </c>
      <c r="C264" s="19">
        <v>0.9019</v>
      </c>
      <c r="D264" s="17">
        <v>34826.58</v>
      </c>
      <c r="E264" s="19">
        <v>0.8969</v>
      </c>
      <c r="F264" s="19">
        <v>0.0994</v>
      </c>
      <c r="G264" s="17">
        <v>1893165.28</v>
      </c>
      <c r="H264" s="17">
        <v>2303570.53</v>
      </c>
      <c r="I264" s="8" t="s">
        <v>125</v>
      </c>
    </row>
    <row r="265" ht="15" customHeight="1">
      <c r="A265" s="7">
        <v>263</v>
      </c>
      <c r="B265" s="18">
        <v>0.7165</v>
      </c>
      <c r="C265" s="18">
        <v>1.0155</v>
      </c>
      <c r="D265" s="16">
        <v>25838.99</v>
      </c>
      <c r="E265" s="18">
        <v>0.9269</v>
      </c>
      <c r="F265" s="18">
        <v>0.0402</v>
      </c>
      <c r="G265" s="16">
        <v>3459124.09</v>
      </c>
      <c r="H265" s="16">
        <v>4123652.88</v>
      </c>
      <c r="I265" s="7" t="s">
        <v>125</v>
      </c>
    </row>
    <row r="266" ht="15" customHeight="1">
      <c r="A266" s="8">
        <v>264</v>
      </c>
      <c r="B266" s="19">
        <v>0.7062</v>
      </c>
      <c r="C266" s="19">
        <v>0.8318</v>
      </c>
      <c r="D266" s="17">
        <v>31711.2</v>
      </c>
      <c r="E266" s="19">
        <v>0.9202</v>
      </c>
      <c r="F266" s="19">
        <v>0.0595</v>
      </c>
      <c r="G266" s="17">
        <v>2461292.24</v>
      </c>
      <c r="H266" s="17">
        <v>2959550.85</v>
      </c>
      <c r="I266" s="8" t="s">
        <v>125</v>
      </c>
    </row>
    <row r="267" ht="15" customHeight="1">
      <c r="A267" s="7">
        <v>265</v>
      </c>
      <c r="B267" s="18">
        <v>0.8292</v>
      </c>
      <c r="C267" s="18">
        <v>1.3013</v>
      </c>
      <c r="D267" s="16">
        <v>26046.49</v>
      </c>
      <c r="E267" s="18">
        <v>0.952</v>
      </c>
      <c r="F267" s="18">
        <v>0.0898</v>
      </c>
      <c r="G267" s="16">
        <v>6341876.52</v>
      </c>
      <c r="H267" s="16">
        <v>7539291.14</v>
      </c>
      <c r="I267" s="7" t="s">
        <v>125</v>
      </c>
    </row>
    <row r="268" ht="15" customHeight="1">
      <c r="A268" s="8">
        <v>266</v>
      </c>
      <c r="B268" s="19">
        <v>0.5479</v>
      </c>
      <c r="C268" s="19">
        <v>1.0564</v>
      </c>
      <c r="D268" s="17">
        <v>25213.9</v>
      </c>
      <c r="E268" s="19">
        <v>0.8634</v>
      </c>
      <c r="F268" s="19">
        <v>0.1018</v>
      </c>
      <c r="G268" s="17">
        <v>2578528.69</v>
      </c>
      <c r="H268" s="17">
        <v>3109670.28</v>
      </c>
      <c r="I268" s="8" t="s">
        <v>125</v>
      </c>
    </row>
    <row r="269" ht="15" customHeight="1">
      <c r="A269" s="7">
        <v>267</v>
      </c>
      <c r="B269" s="18">
        <v>0.6928</v>
      </c>
      <c r="C269" s="18">
        <v>0.407</v>
      </c>
      <c r="D269" s="16">
        <v>28854.57</v>
      </c>
      <c r="E269" s="18">
        <v>0.9206</v>
      </c>
      <c r="F269" s="18">
        <v>0.1326</v>
      </c>
      <c r="G269" s="16">
        <v>765287.8</v>
      </c>
      <c r="H269" s="16">
        <v>977943.03</v>
      </c>
      <c r="I269" s="7" t="s">
        <v>125</v>
      </c>
    </row>
    <row r="270" ht="15" customHeight="1">
      <c r="A270" s="8">
        <v>268</v>
      </c>
      <c r="B270" s="19">
        <v>0.5562</v>
      </c>
      <c r="C270" s="19">
        <v>1.0993</v>
      </c>
      <c r="D270" s="17">
        <v>25289.63</v>
      </c>
      <c r="E270" s="19">
        <v>0.9086</v>
      </c>
      <c r="F270" s="19">
        <v>0.1232</v>
      </c>
      <c r="G270" s="17">
        <v>3107518.12</v>
      </c>
      <c r="H270" s="17">
        <v>3740892.69</v>
      </c>
      <c r="I270" s="8" t="s">
        <v>125</v>
      </c>
    </row>
    <row r="271" ht="15" customHeight="1">
      <c r="A271" s="7">
        <v>269</v>
      </c>
      <c r="B271" s="18">
        <v>0.7289</v>
      </c>
      <c r="C271" s="18">
        <v>0.9521</v>
      </c>
      <c r="D271" s="16">
        <v>31565.51</v>
      </c>
      <c r="E271" s="18">
        <v>0.907</v>
      </c>
      <c r="F271" s="18">
        <v>0.0825</v>
      </c>
      <c r="G271" s="16">
        <v>3226693.28</v>
      </c>
      <c r="H271" s="16">
        <v>3868183.27</v>
      </c>
      <c r="I271" s="7" t="s">
        <v>125</v>
      </c>
    </row>
    <row r="272" ht="15" customHeight="1">
      <c r="A272" s="8">
        <v>270</v>
      </c>
      <c r="B272" s="19">
        <v>0.6976</v>
      </c>
      <c r="C272" s="19">
        <v>0.9174</v>
      </c>
      <c r="D272" s="17">
        <v>31815.69</v>
      </c>
      <c r="E272" s="19">
        <v>0.9179</v>
      </c>
      <c r="F272" s="19">
        <v>0.1117</v>
      </c>
      <c r="G272" s="17">
        <v>3081474.17</v>
      </c>
      <c r="H272" s="17">
        <v>3708064.52</v>
      </c>
      <c r="I272" s="8" t="s">
        <v>125</v>
      </c>
    </row>
    <row r="273" ht="15" customHeight="1">
      <c r="A273" s="7">
        <v>271</v>
      </c>
      <c r="B273" s="18">
        <v>0.7447</v>
      </c>
      <c r="C273" s="18">
        <v>1.2754</v>
      </c>
      <c r="D273" s="16">
        <v>29808.84</v>
      </c>
      <c r="E273" s="18">
        <v>0.9249</v>
      </c>
      <c r="F273" s="18">
        <v>0.0601</v>
      </c>
      <c r="G273" s="16">
        <v>4892617.33</v>
      </c>
      <c r="H273" s="16">
        <v>5817348.96</v>
      </c>
      <c r="I273" s="7" t="s">
        <v>125</v>
      </c>
    </row>
    <row r="274" ht="15" customHeight="1">
      <c r="A274" s="8">
        <v>272</v>
      </c>
      <c r="B274" s="19">
        <v>0.4823</v>
      </c>
      <c r="C274" s="19">
        <v>1.0151</v>
      </c>
      <c r="D274" s="17">
        <v>22406.96</v>
      </c>
      <c r="E274" s="19">
        <v>0.8386</v>
      </c>
      <c r="F274" s="19">
        <v>0.0409</v>
      </c>
      <c r="G274" s="17">
        <v>1765623.55</v>
      </c>
      <c r="H274" s="17">
        <v>2135773.56</v>
      </c>
      <c r="I274" s="8" t="s">
        <v>125</v>
      </c>
    </row>
    <row r="275" ht="15" customHeight="1">
      <c r="A275" s="7">
        <v>273</v>
      </c>
      <c r="B275" s="18">
        <v>0.6452</v>
      </c>
      <c r="C275" s="18">
        <v>1.0241</v>
      </c>
      <c r="D275" s="16">
        <v>22603.94</v>
      </c>
      <c r="E275" s="18">
        <v>0.922</v>
      </c>
      <c r="F275" s="18">
        <v>0.0707</v>
      </c>
      <c r="G275" s="16">
        <v>3287582.93</v>
      </c>
      <c r="H275" s="16">
        <v>3933498.01</v>
      </c>
      <c r="I275" s="7" t="s">
        <v>125</v>
      </c>
    </row>
    <row r="276" ht="15" customHeight="1">
      <c r="A276" s="8">
        <v>274</v>
      </c>
      <c r="B276" s="19">
        <v>0.589</v>
      </c>
      <c r="C276" s="19">
        <v>1.0274</v>
      </c>
      <c r="D276" s="17">
        <v>26277.59</v>
      </c>
      <c r="E276" s="19">
        <v>0.909</v>
      </c>
      <c r="F276" s="19">
        <v>0.1289</v>
      </c>
      <c r="G276" s="17">
        <v>3065948.17</v>
      </c>
      <c r="H276" s="17">
        <v>3694077.93</v>
      </c>
      <c r="I276" s="8" t="s">
        <v>125</v>
      </c>
    </row>
    <row r="277" ht="15" customHeight="1">
      <c r="A277" s="7">
        <v>275</v>
      </c>
      <c r="B277" s="18">
        <v>0.3889</v>
      </c>
      <c r="C277" s="18">
        <v>0.7405</v>
      </c>
      <c r="D277" s="16">
        <v>27492.65</v>
      </c>
      <c r="E277" s="18">
        <v>0.8886</v>
      </c>
      <c r="F277" s="18">
        <v>0.0816</v>
      </c>
      <c r="G277" s="16">
        <v>650905.77</v>
      </c>
      <c r="H277" s="16">
        <v>834462.25</v>
      </c>
      <c r="I277" s="7" t="s">
        <v>125</v>
      </c>
    </row>
    <row r="278" ht="15" customHeight="1">
      <c r="A278" s="8">
        <v>276</v>
      </c>
      <c r="B278" s="19">
        <v>0.5698</v>
      </c>
      <c r="C278" s="19">
        <v>0.8285</v>
      </c>
      <c r="D278" s="17">
        <v>28870.36</v>
      </c>
      <c r="E278" s="19">
        <v>0.7805</v>
      </c>
      <c r="F278" s="19">
        <v>0.1336</v>
      </c>
      <c r="G278" s="17">
        <v>1608715.9</v>
      </c>
      <c r="H278" s="17">
        <v>1974719.98</v>
      </c>
      <c r="I278" s="8" t="s">
        <v>125</v>
      </c>
    </row>
    <row r="279" ht="15" customHeight="1">
      <c r="A279" s="7">
        <v>277</v>
      </c>
      <c r="B279" s="18">
        <v>0.6336</v>
      </c>
      <c r="C279" s="18">
        <v>1.1037</v>
      </c>
      <c r="D279" s="16">
        <v>36669.45</v>
      </c>
      <c r="E279" s="18">
        <v>0.8989</v>
      </c>
      <c r="F279" s="18">
        <v>0.1193</v>
      </c>
      <c r="G279" s="16">
        <v>3289336.69</v>
      </c>
      <c r="H279" s="16">
        <v>3957789.44</v>
      </c>
      <c r="I279" s="7" t="s">
        <v>125</v>
      </c>
    </row>
    <row r="280" ht="15" customHeight="1">
      <c r="A280" s="8">
        <v>278</v>
      </c>
      <c r="B280" s="19">
        <v>0.3616</v>
      </c>
      <c r="C280" s="19">
        <v>0.7785</v>
      </c>
      <c r="D280" s="17">
        <v>28367.13</v>
      </c>
      <c r="E280" s="19">
        <v>0.8519</v>
      </c>
      <c r="F280" s="19">
        <v>0.109</v>
      </c>
      <c r="G280" s="17">
        <v>571446.36</v>
      </c>
      <c r="H280" s="17">
        <v>745240.8</v>
      </c>
      <c r="I280" s="8" t="s">
        <v>125</v>
      </c>
    </row>
    <row r="281" ht="15" customHeight="1">
      <c r="A281" s="7">
        <v>279</v>
      </c>
      <c r="B281" s="18">
        <v>0.4547</v>
      </c>
      <c r="C281" s="18">
        <v>0.8971</v>
      </c>
      <c r="D281" s="16">
        <v>31399.57</v>
      </c>
      <c r="E281" s="18">
        <v>0.9481</v>
      </c>
      <c r="F281" s="18">
        <v>0.1401</v>
      </c>
      <c r="G281" s="16">
        <v>1697497.91</v>
      </c>
      <c r="H281" s="16">
        <v>2082129.16</v>
      </c>
      <c r="I281" s="7" t="s">
        <v>125</v>
      </c>
    </row>
    <row r="282" ht="15" customHeight="1">
      <c r="A282" s="8">
        <v>280</v>
      </c>
      <c r="B282" s="19">
        <v>0.7005</v>
      </c>
      <c r="C282" s="19">
        <v>1.143</v>
      </c>
      <c r="D282" s="17">
        <v>29090.55</v>
      </c>
      <c r="E282" s="19">
        <v>0.8536</v>
      </c>
      <c r="F282" s="19">
        <v>0.1605</v>
      </c>
      <c r="G282" s="17">
        <v>4222927.07</v>
      </c>
      <c r="H282" s="17">
        <v>5075655.65</v>
      </c>
      <c r="I282" s="8" t="s">
        <v>125</v>
      </c>
    </row>
    <row r="283" ht="15" customHeight="1">
      <c r="A283" s="7">
        <v>281</v>
      </c>
      <c r="B283" s="18">
        <v>0.6779</v>
      </c>
      <c r="C283" s="18">
        <v>1.0832</v>
      </c>
      <c r="D283" s="16">
        <v>25255.89</v>
      </c>
      <c r="E283" s="18">
        <v>0.9008</v>
      </c>
      <c r="F283" s="18">
        <v>0.1462</v>
      </c>
      <c r="G283" s="16">
        <v>4067992.85</v>
      </c>
      <c r="H283" s="16">
        <v>4884702.68</v>
      </c>
      <c r="I283" s="7" t="s">
        <v>125</v>
      </c>
    </row>
    <row r="284" ht="15" customHeight="1">
      <c r="A284" s="8">
        <v>282</v>
      </c>
      <c r="B284" s="19">
        <v>0.765</v>
      </c>
      <c r="C284" s="19">
        <v>0.9567</v>
      </c>
      <c r="D284" s="17">
        <v>24085.05</v>
      </c>
      <c r="E284" s="19">
        <v>0.9435</v>
      </c>
      <c r="F284" s="19">
        <v>0.1417</v>
      </c>
      <c r="G284" s="17">
        <v>4300945.76</v>
      </c>
      <c r="H284" s="17">
        <v>5157769.09</v>
      </c>
      <c r="I284" s="8" t="s">
        <v>125</v>
      </c>
    </row>
    <row r="285" ht="15" customHeight="1">
      <c r="A285" s="7">
        <v>283</v>
      </c>
      <c r="B285" s="18">
        <v>0.6349</v>
      </c>
      <c r="C285" s="18">
        <v>0.9804</v>
      </c>
      <c r="D285" s="16">
        <v>29688.48</v>
      </c>
      <c r="E285" s="18">
        <v>0.8934</v>
      </c>
      <c r="F285" s="18">
        <v>0.1114</v>
      </c>
      <c r="G285" s="16">
        <v>2910021.69</v>
      </c>
      <c r="H285" s="16">
        <v>3505042</v>
      </c>
      <c r="I285" s="7" t="s">
        <v>125</v>
      </c>
    </row>
    <row r="286" ht="15" customHeight="1">
      <c r="A286" s="8">
        <v>284</v>
      </c>
      <c r="B286" s="19">
        <v>0.4366</v>
      </c>
      <c r="C286" s="19">
        <v>0.8356</v>
      </c>
      <c r="D286" s="17">
        <v>21599.51</v>
      </c>
      <c r="E286" s="19">
        <v>0.875</v>
      </c>
      <c r="F286" s="19">
        <v>0.0933</v>
      </c>
      <c r="G286" s="17">
        <v>1325444.32</v>
      </c>
      <c r="H286" s="17">
        <v>1629610.5</v>
      </c>
      <c r="I286" s="8" t="s">
        <v>125</v>
      </c>
    </row>
    <row r="287" ht="15" customHeight="1">
      <c r="A287" s="7">
        <v>285</v>
      </c>
      <c r="B287" s="18">
        <v>0.6029</v>
      </c>
      <c r="C287" s="18">
        <v>0.9991</v>
      </c>
      <c r="D287" s="16">
        <v>29482.62</v>
      </c>
      <c r="E287" s="18">
        <v>0.8497</v>
      </c>
      <c r="F287" s="18">
        <v>0.0886</v>
      </c>
      <c r="G287" s="16">
        <v>2470320.97</v>
      </c>
      <c r="H287" s="16">
        <v>2979091.84</v>
      </c>
      <c r="I287" s="7" t="s">
        <v>125</v>
      </c>
    </row>
    <row r="288" ht="15" customHeight="1">
      <c r="A288" s="8">
        <v>286</v>
      </c>
      <c r="B288" s="19">
        <v>0.6268</v>
      </c>
      <c r="C288" s="19">
        <v>0.9761</v>
      </c>
      <c r="D288" s="17">
        <v>31026.9</v>
      </c>
      <c r="E288" s="19">
        <v>0.9265</v>
      </c>
      <c r="F288" s="19">
        <v>0.0685</v>
      </c>
      <c r="G288" s="17">
        <v>2715520.54</v>
      </c>
      <c r="H288" s="17">
        <v>3261395.28</v>
      </c>
      <c r="I288" s="8" t="s">
        <v>125</v>
      </c>
    </row>
    <row r="289" ht="15" customHeight="1">
      <c r="A289" s="7">
        <v>287</v>
      </c>
      <c r="B289" s="18">
        <v>0.4218</v>
      </c>
      <c r="C289" s="18">
        <v>0.7455</v>
      </c>
      <c r="D289" s="16">
        <v>29735.39</v>
      </c>
      <c r="E289" s="18">
        <v>0.9174</v>
      </c>
      <c r="F289" s="18">
        <v>0.0812</v>
      </c>
      <c r="G289" s="16">
        <v>815750.55</v>
      </c>
      <c r="H289" s="16">
        <v>1028962.56</v>
      </c>
      <c r="I289" s="7" t="s">
        <v>125</v>
      </c>
    </row>
    <row r="290" ht="15" customHeight="1">
      <c r="A290" s="8">
        <v>288</v>
      </c>
      <c r="B290" s="19">
        <v>0.6296</v>
      </c>
      <c r="C290" s="19">
        <v>1.0986</v>
      </c>
      <c r="D290" s="17">
        <v>24964.21</v>
      </c>
      <c r="E290" s="19">
        <v>0.8215</v>
      </c>
      <c r="F290" s="19">
        <v>0.0876</v>
      </c>
      <c r="G290" s="17">
        <v>3014600.97</v>
      </c>
      <c r="H290" s="17">
        <v>3618765.42</v>
      </c>
      <c r="I290" s="8" t="s">
        <v>125</v>
      </c>
    </row>
    <row r="291" ht="15" customHeight="1">
      <c r="A291" s="7">
        <v>289</v>
      </c>
      <c r="B291" s="18">
        <v>0.6412</v>
      </c>
      <c r="C291" s="18">
        <v>1.2629</v>
      </c>
      <c r="D291" s="16">
        <v>26914.59</v>
      </c>
      <c r="E291" s="18">
        <v>0.8886</v>
      </c>
      <c r="F291" s="18">
        <v>0.0986</v>
      </c>
      <c r="G291" s="16">
        <v>4132983.27</v>
      </c>
      <c r="H291" s="16">
        <v>4941393.76</v>
      </c>
      <c r="I291" s="7" t="s">
        <v>125</v>
      </c>
    </row>
    <row r="292" ht="15" customHeight="1">
      <c r="A292" s="8">
        <v>290</v>
      </c>
      <c r="B292" s="19">
        <v>0.6848</v>
      </c>
      <c r="C292" s="19">
        <v>0.8112</v>
      </c>
      <c r="D292" s="17">
        <v>28442.4</v>
      </c>
      <c r="E292" s="19">
        <v>0.9035</v>
      </c>
      <c r="F292" s="19">
        <v>0.196</v>
      </c>
      <c r="G292" s="17">
        <v>2976399.23</v>
      </c>
      <c r="H292" s="17">
        <v>3611446.52</v>
      </c>
      <c r="I292" s="8" t="s">
        <v>125</v>
      </c>
    </row>
    <row r="293" ht="15" customHeight="1">
      <c r="A293" s="7">
        <v>291</v>
      </c>
      <c r="B293" s="18">
        <v>0.3639</v>
      </c>
      <c r="C293" s="18">
        <v>1.1642</v>
      </c>
      <c r="D293" s="16">
        <v>20844.06</v>
      </c>
      <c r="E293" s="18">
        <v>0.8352</v>
      </c>
      <c r="F293" s="18">
        <v>0.1029</v>
      </c>
      <c r="G293" s="16">
        <v>1635246.61</v>
      </c>
      <c r="H293" s="16">
        <v>1996567.2</v>
      </c>
      <c r="I293" s="7" t="s">
        <v>125</v>
      </c>
    </row>
    <row r="294" ht="15" customHeight="1">
      <c r="A294" s="8">
        <v>292</v>
      </c>
      <c r="B294" s="19">
        <v>0.5128</v>
      </c>
      <c r="C294" s="19">
        <v>1.1627</v>
      </c>
      <c r="D294" s="17">
        <v>27275.9</v>
      </c>
      <c r="E294" s="19">
        <v>0.8552</v>
      </c>
      <c r="F294" s="19">
        <v>0.1071</v>
      </c>
      <c r="G294" s="17">
        <v>2616927.63</v>
      </c>
      <c r="H294" s="17">
        <v>3157185.79</v>
      </c>
      <c r="I294" s="8" t="s">
        <v>125</v>
      </c>
    </row>
    <row r="295" ht="15" customHeight="1">
      <c r="A295" s="7">
        <v>293</v>
      </c>
      <c r="B295" s="18">
        <v>0.7923</v>
      </c>
      <c r="C295" s="18">
        <v>1.271</v>
      </c>
      <c r="D295" s="16">
        <v>29206.4</v>
      </c>
      <c r="E295" s="18">
        <v>0.8899</v>
      </c>
      <c r="F295" s="18">
        <v>0.1137</v>
      </c>
      <c r="G295" s="16">
        <v>5497876.29</v>
      </c>
      <c r="H295" s="16">
        <v>6559360.13</v>
      </c>
      <c r="I295" s="7" t="s">
        <v>125</v>
      </c>
    </row>
    <row r="296" ht="15" customHeight="1">
      <c r="A296" s="8">
        <v>294</v>
      </c>
      <c r="B296" s="19">
        <v>0.5513</v>
      </c>
      <c r="C296" s="19">
        <v>1.1083</v>
      </c>
      <c r="D296" s="17">
        <v>31688.39</v>
      </c>
      <c r="E296" s="19">
        <v>0.8754</v>
      </c>
      <c r="F296" s="19">
        <v>0.0925</v>
      </c>
      <c r="G296" s="17">
        <v>2591173.67</v>
      </c>
      <c r="H296" s="17">
        <v>3123282.78</v>
      </c>
      <c r="I296" s="8" t="s">
        <v>125</v>
      </c>
    </row>
    <row r="297" ht="15" customHeight="1">
      <c r="A297" s="7">
        <v>295</v>
      </c>
      <c r="B297" s="18">
        <v>0.5846</v>
      </c>
      <c r="C297" s="18">
        <v>1.1281</v>
      </c>
      <c r="D297" s="16">
        <v>32958.43</v>
      </c>
      <c r="E297" s="18">
        <v>0.9122</v>
      </c>
      <c r="F297" s="18">
        <v>0.0482</v>
      </c>
      <c r="G297" s="16">
        <v>2787430.78</v>
      </c>
      <c r="H297" s="16">
        <v>3339016.17</v>
      </c>
      <c r="I297" s="7" t="s">
        <v>125</v>
      </c>
    </row>
    <row r="298" ht="15" customHeight="1">
      <c r="A298" s="8">
        <v>296</v>
      </c>
      <c r="B298" s="19">
        <v>0.4182</v>
      </c>
      <c r="C298" s="19">
        <v>0.851</v>
      </c>
      <c r="D298" s="17">
        <v>27792.68</v>
      </c>
      <c r="E298" s="19">
        <v>0.8187</v>
      </c>
      <c r="F298" s="19">
        <v>0.0942</v>
      </c>
      <c r="G298" s="17">
        <v>933000.47</v>
      </c>
      <c r="H298" s="17">
        <v>1168913.63</v>
      </c>
      <c r="I298" s="8" t="s">
        <v>125</v>
      </c>
    </row>
    <row r="299" ht="15" customHeight="1">
      <c r="A299" s="7">
        <v>297</v>
      </c>
      <c r="B299" s="18">
        <v>0.5978</v>
      </c>
      <c r="C299" s="18">
        <v>0.9062</v>
      </c>
      <c r="D299" s="16">
        <v>20334.18</v>
      </c>
      <c r="E299" s="18">
        <v>0.7806</v>
      </c>
      <c r="F299" s="18">
        <v>0.1365</v>
      </c>
      <c r="G299" s="16">
        <v>2304507.97</v>
      </c>
      <c r="H299" s="16">
        <v>2794645.18</v>
      </c>
      <c r="I299" s="7" t="s">
        <v>125</v>
      </c>
    </row>
    <row r="300" ht="15" customHeight="1">
      <c r="A300" s="8">
        <v>298</v>
      </c>
      <c r="B300" s="19">
        <v>0.7011</v>
      </c>
      <c r="C300" s="19">
        <v>1.1493</v>
      </c>
      <c r="D300" s="17">
        <v>26982.08</v>
      </c>
      <c r="E300" s="19">
        <v>0.8365</v>
      </c>
      <c r="F300" s="19">
        <v>0.1014</v>
      </c>
      <c r="G300" s="17">
        <v>3813950.16</v>
      </c>
      <c r="H300" s="17">
        <v>4566552.11</v>
      </c>
      <c r="I300" s="8" t="s">
        <v>125</v>
      </c>
    </row>
    <row r="301" ht="15" customHeight="1">
      <c r="A301" s="7">
        <v>299</v>
      </c>
      <c r="B301" s="18">
        <v>0.6217</v>
      </c>
      <c r="C301" s="18">
        <v>1.268</v>
      </c>
      <c r="D301" s="16">
        <v>30203.64</v>
      </c>
      <c r="E301" s="18">
        <v>0.9216</v>
      </c>
      <c r="F301" s="18">
        <v>0.0642</v>
      </c>
      <c r="G301" s="16">
        <v>3843065.18</v>
      </c>
      <c r="H301" s="16">
        <v>4585537.5</v>
      </c>
      <c r="I301" s="7" t="s">
        <v>125</v>
      </c>
    </row>
    <row r="302" ht="15" customHeight="1">
      <c r="A302" s="8">
        <v>300</v>
      </c>
      <c r="B302" s="19">
        <v>0.755</v>
      </c>
      <c r="C302" s="19">
        <v>1.3196</v>
      </c>
      <c r="D302" s="17">
        <v>28521.15</v>
      </c>
      <c r="E302" s="19">
        <v>0.8712</v>
      </c>
      <c r="F302" s="19">
        <v>0.1634</v>
      </c>
      <c r="G302" s="17">
        <v>5743516.99</v>
      </c>
      <c r="H302" s="17">
        <v>6877107.28</v>
      </c>
      <c r="I302" s="8" t="s">
        <v>125</v>
      </c>
    </row>
    <row r="303" ht="15" customHeight="1">
      <c r="A303" s="7">
        <v>301</v>
      </c>
      <c r="B303" s="18">
        <v>0.4848</v>
      </c>
      <c r="C303" s="18">
        <v>0.9555</v>
      </c>
      <c r="D303" s="16">
        <v>26049.85</v>
      </c>
      <c r="E303" s="18">
        <v>0.9045</v>
      </c>
      <c r="F303" s="18">
        <v>0.0868</v>
      </c>
      <c r="G303" s="16">
        <v>1892994.97</v>
      </c>
      <c r="H303" s="16">
        <v>2297785.99</v>
      </c>
      <c r="I303" s="7" t="s">
        <v>125</v>
      </c>
    </row>
    <row r="304" ht="15" customHeight="1">
      <c r="A304" s="8">
        <v>302</v>
      </c>
      <c r="B304" s="19">
        <v>0.5432</v>
      </c>
      <c r="C304" s="19">
        <v>0.7755</v>
      </c>
      <c r="D304" s="17">
        <v>24644.48</v>
      </c>
      <c r="E304" s="19">
        <v>0.89</v>
      </c>
      <c r="F304" s="19">
        <v>0.1336</v>
      </c>
      <c r="G304" s="17">
        <v>1789253.53</v>
      </c>
      <c r="H304" s="17">
        <v>2186563.07</v>
      </c>
      <c r="I304" s="8" t="s">
        <v>125</v>
      </c>
    </row>
    <row r="305" ht="15" customHeight="1">
      <c r="A305" s="7">
        <v>303</v>
      </c>
      <c r="B305" s="18">
        <v>0.5903</v>
      </c>
      <c r="C305" s="18">
        <v>1.0726</v>
      </c>
      <c r="D305" s="16">
        <v>24626.29</v>
      </c>
      <c r="E305" s="18">
        <v>0.9441</v>
      </c>
      <c r="F305" s="18">
        <v>0.0844</v>
      </c>
      <c r="G305" s="16">
        <v>3222111.78</v>
      </c>
      <c r="H305" s="16">
        <v>3861914.54</v>
      </c>
      <c r="I305" s="7" t="s">
        <v>125</v>
      </c>
    </row>
    <row r="306" ht="15" customHeight="1">
      <c r="A306" s="8">
        <v>304</v>
      </c>
      <c r="B306" s="19">
        <v>0.658</v>
      </c>
      <c r="C306" s="19">
        <v>0.9369</v>
      </c>
      <c r="D306" s="17">
        <v>28123.24</v>
      </c>
      <c r="E306" s="19">
        <v>0.9618</v>
      </c>
      <c r="F306" s="19">
        <v>0.0862</v>
      </c>
      <c r="G306" s="17">
        <v>3089804.21</v>
      </c>
      <c r="H306" s="17">
        <v>3707579.35</v>
      </c>
      <c r="I306" s="8" t="s">
        <v>125</v>
      </c>
    </row>
    <row r="307" ht="15" customHeight="1">
      <c r="A307" s="7">
        <v>305</v>
      </c>
      <c r="B307" s="18">
        <v>0.6946</v>
      </c>
      <c r="C307" s="18">
        <v>1.0591</v>
      </c>
      <c r="D307" s="16">
        <v>26958.35</v>
      </c>
      <c r="E307" s="18">
        <v>0.9058</v>
      </c>
      <c r="F307" s="18">
        <v>0.1125</v>
      </c>
      <c r="G307" s="16">
        <v>3829275.79</v>
      </c>
      <c r="H307" s="16">
        <v>4589217.4</v>
      </c>
      <c r="I307" s="7" t="s">
        <v>125</v>
      </c>
    </row>
    <row r="308" ht="15" customHeight="1">
      <c r="A308" s="8">
        <v>306</v>
      </c>
      <c r="B308" s="19">
        <v>0.5358</v>
      </c>
      <c r="C308" s="19">
        <v>1.0311</v>
      </c>
      <c r="D308" s="17">
        <v>26863.95</v>
      </c>
      <c r="E308" s="19">
        <v>0.8984</v>
      </c>
      <c r="F308" s="19">
        <v>0.1544</v>
      </c>
      <c r="G308" s="17">
        <v>2763253.05</v>
      </c>
      <c r="H308" s="17">
        <v>3344853.73</v>
      </c>
      <c r="I308" s="8" t="s">
        <v>125</v>
      </c>
    </row>
    <row r="309" ht="15" customHeight="1">
      <c r="A309" s="7">
        <v>307</v>
      </c>
      <c r="B309" s="18">
        <v>0.3859</v>
      </c>
      <c r="C309" s="18">
        <v>1.5539</v>
      </c>
      <c r="D309" s="16">
        <v>37713.95</v>
      </c>
      <c r="E309" s="18">
        <v>0.8076</v>
      </c>
      <c r="F309" s="18">
        <v>0.1803</v>
      </c>
      <c r="G309" s="16">
        <v>2463511.27</v>
      </c>
      <c r="H309" s="16">
        <v>3002726.78</v>
      </c>
      <c r="I309" s="7" t="s">
        <v>125</v>
      </c>
    </row>
    <row r="310" ht="15" customHeight="1">
      <c r="A310" s="8">
        <v>308</v>
      </c>
      <c r="B310" s="19">
        <v>0.6022</v>
      </c>
      <c r="C310" s="19">
        <v>0.7937</v>
      </c>
      <c r="D310" s="17">
        <v>35043.42</v>
      </c>
      <c r="E310" s="19">
        <v>0.877</v>
      </c>
      <c r="F310" s="19">
        <v>0.0247</v>
      </c>
      <c r="G310" s="17">
        <v>1373335.14</v>
      </c>
      <c r="H310" s="17">
        <v>1672718.3</v>
      </c>
      <c r="I310" s="8" t="s">
        <v>125</v>
      </c>
    </row>
    <row r="311" ht="15" customHeight="1">
      <c r="A311" s="7">
        <v>309</v>
      </c>
      <c r="B311" s="18">
        <v>0.5241</v>
      </c>
      <c r="C311" s="18">
        <v>0.7947</v>
      </c>
      <c r="D311" s="16">
        <v>34122.38</v>
      </c>
      <c r="E311" s="18">
        <v>0.8532</v>
      </c>
      <c r="F311" s="18">
        <v>0.0133</v>
      </c>
      <c r="G311" s="16">
        <v>938829.86</v>
      </c>
      <c r="H311" s="16">
        <v>1160881.98</v>
      </c>
      <c r="I311" s="7" t="s">
        <v>125</v>
      </c>
    </row>
    <row r="312" ht="15" customHeight="1">
      <c r="A312" s="8">
        <v>310</v>
      </c>
      <c r="B312" s="19">
        <v>0.4395</v>
      </c>
      <c r="C312" s="19">
        <v>1.2352</v>
      </c>
      <c r="D312" s="17">
        <v>29821.93</v>
      </c>
      <c r="E312" s="19">
        <v>0.9341</v>
      </c>
      <c r="F312" s="19">
        <v>0.1054</v>
      </c>
      <c r="G312" s="17">
        <v>2508873.04</v>
      </c>
      <c r="H312" s="17">
        <v>3029931.83</v>
      </c>
      <c r="I312" s="8" t="s">
        <v>125</v>
      </c>
    </row>
    <row r="313" ht="15" customHeight="1">
      <c r="A313" s="7">
        <v>311</v>
      </c>
      <c r="B313" s="18">
        <v>0.7385</v>
      </c>
      <c r="C313" s="18">
        <v>0.853</v>
      </c>
      <c r="D313" s="16">
        <v>27663.62</v>
      </c>
      <c r="E313" s="18">
        <v>0.8006</v>
      </c>
      <c r="F313" s="18">
        <v>0.069</v>
      </c>
      <c r="G313" s="16">
        <v>2377860.27</v>
      </c>
      <c r="H313" s="16">
        <v>2863778.43</v>
      </c>
      <c r="I313" s="7" t="s">
        <v>125</v>
      </c>
    </row>
    <row r="314" ht="15" customHeight="1">
      <c r="A314" s="8">
        <v>312</v>
      </c>
      <c r="B314" s="19">
        <v>0.4435</v>
      </c>
      <c r="C314" s="19">
        <v>1.1727</v>
      </c>
      <c r="D314" s="17">
        <v>25747.88</v>
      </c>
      <c r="E314" s="19">
        <v>0.9187</v>
      </c>
      <c r="F314" s="19">
        <v>0.1023</v>
      </c>
      <c r="G314" s="17">
        <v>2401970.58</v>
      </c>
      <c r="H314" s="17">
        <v>2901778.74</v>
      </c>
      <c r="I314" s="8" t="s">
        <v>125</v>
      </c>
    </row>
    <row r="315" ht="15" customHeight="1">
      <c r="A315" s="7">
        <v>313</v>
      </c>
      <c r="B315" s="18">
        <v>0.3933</v>
      </c>
      <c r="C315" s="18">
        <v>0.9094</v>
      </c>
      <c r="D315" s="16">
        <v>29237.79</v>
      </c>
      <c r="E315" s="18">
        <v>0.912</v>
      </c>
      <c r="F315" s="18">
        <v>0.0859</v>
      </c>
      <c r="G315" s="16">
        <v>1117393.82</v>
      </c>
      <c r="H315" s="16">
        <v>1384899.47</v>
      </c>
      <c r="I315" s="7" t="s">
        <v>125</v>
      </c>
    </row>
    <row r="316" ht="15" customHeight="1">
      <c r="A316" s="8">
        <v>314</v>
      </c>
      <c r="B316" s="19">
        <v>0.5906</v>
      </c>
      <c r="C316" s="19">
        <v>0.7492</v>
      </c>
      <c r="D316" s="17">
        <v>29002.13</v>
      </c>
      <c r="E316" s="19">
        <v>0.8025</v>
      </c>
      <c r="F316" s="19">
        <v>0.0846</v>
      </c>
      <c r="G316" s="17">
        <v>1330597.16</v>
      </c>
      <c r="H316" s="17">
        <v>1635656.44</v>
      </c>
      <c r="I316" s="8" t="s">
        <v>125</v>
      </c>
    </row>
    <row r="317" ht="15" customHeight="1">
      <c r="A317" s="7">
        <v>315</v>
      </c>
      <c r="B317" s="18">
        <v>0.6005</v>
      </c>
      <c r="C317" s="18">
        <v>0.8836</v>
      </c>
      <c r="D317" s="16">
        <v>28290.84</v>
      </c>
      <c r="E317" s="18">
        <v>0.9132</v>
      </c>
      <c r="F317" s="18">
        <v>0.0924</v>
      </c>
      <c r="G317" s="16">
        <v>2326057.43</v>
      </c>
      <c r="H317" s="16">
        <v>2810025.08</v>
      </c>
      <c r="I317" s="7" t="s">
        <v>125</v>
      </c>
    </row>
    <row r="318" ht="15" customHeight="1">
      <c r="A318" s="8">
        <v>316</v>
      </c>
      <c r="B318" s="19">
        <v>0.7254</v>
      </c>
      <c r="C318" s="19">
        <v>0.6355</v>
      </c>
      <c r="D318" s="17">
        <v>22698.92</v>
      </c>
      <c r="E318" s="19">
        <v>0.9455</v>
      </c>
      <c r="F318" s="19">
        <v>0.1353</v>
      </c>
      <c r="G318" s="17">
        <v>2326822.57</v>
      </c>
      <c r="H318" s="17">
        <v>2821524.01</v>
      </c>
      <c r="I318" s="8" t="s">
        <v>125</v>
      </c>
    </row>
    <row r="319" ht="15" customHeight="1">
      <c r="A319" s="7">
        <v>317</v>
      </c>
      <c r="B319" s="18">
        <v>0.6238</v>
      </c>
      <c r="C319" s="18">
        <v>0.9007</v>
      </c>
      <c r="D319" s="16">
        <v>29862.27</v>
      </c>
      <c r="E319" s="18">
        <v>0.9172</v>
      </c>
      <c r="F319" s="18">
        <v>0.1029</v>
      </c>
      <c r="G319" s="16">
        <v>2556412.89</v>
      </c>
      <c r="H319" s="16">
        <v>3085199.88</v>
      </c>
      <c r="I319" s="7" t="s">
        <v>125</v>
      </c>
    </row>
    <row r="320" ht="15" customHeight="1">
      <c r="A320" s="8">
        <v>318</v>
      </c>
      <c r="B320" s="19">
        <v>0.5006</v>
      </c>
      <c r="C320" s="19">
        <v>0.8057</v>
      </c>
      <c r="D320" s="17">
        <v>23196.59</v>
      </c>
      <c r="E320" s="19">
        <v>0.8897</v>
      </c>
      <c r="F320" s="19">
        <v>0.0621</v>
      </c>
      <c r="G320" s="17">
        <v>1459242.77</v>
      </c>
      <c r="H320" s="17">
        <v>1780938.23</v>
      </c>
      <c r="I320" s="8" t="s">
        <v>125</v>
      </c>
    </row>
    <row r="321" ht="15" customHeight="1">
      <c r="A321" s="7">
        <v>319</v>
      </c>
      <c r="B321" s="18">
        <v>0.516</v>
      </c>
      <c r="C321" s="18">
        <v>1.2994</v>
      </c>
      <c r="D321" s="16">
        <v>26134.31</v>
      </c>
      <c r="E321" s="18">
        <v>0.8571</v>
      </c>
      <c r="F321" s="18">
        <v>0.0725</v>
      </c>
      <c r="G321" s="16">
        <v>2943039.81</v>
      </c>
      <c r="H321" s="16">
        <v>3529501.07</v>
      </c>
      <c r="I321" s="7" t="s">
        <v>125</v>
      </c>
    </row>
    <row r="322" ht="15" customHeight="1">
      <c r="A322" s="8">
        <v>320</v>
      </c>
      <c r="B322" s="19">
        <v>0.6993</v>
      </c>
      <c r="C322" s="19">
        <v>0.8851</v>
      </c>
      <c r="D322" s="17">
        <v>26679.3</v>
      </c>
      <c r="E322" s="19">
        <v>0.8674</v>
      </c>
      <c r="F322" s="19">
        <v>0.036</v>
      </c>
      <c r="G322" s="17">
        <v>2473542.63</v>
      </c>
      <c r="H322" s="17">
        <v>2965617.03</v>
      </c>
      <c r="I322" s="8" t="s">
        <v>125</v>
      </c>
    </row>
    <row r="323" ht="15" customHeight="1">
      <c r="A323" s="7">
        <v>321</v>
      </c>
      <c r="B323" s="18">
        <v>0.509</v>
      </c>
      <c r="C323" s="18">
        <v>0.8405</v>
      </c>
      <c r="D323" s="16">
        <v>28999.46</v>
      </c>
      <c r="E323" s="18">
        <v>0.9249</v>
      </c>
      <c r="F323" s="18">
        <v>0.1379</v>
      </c>
      <c r="G323" s="16">
        <v>1832145.75</v>
      </c>
      <c r="H323" s="16">
        <v>2239855.33</v>
      </c>
      <c r="I323" s="7" t="s">
        <v>125</v>
      </c>
    </row>
    <row r="324" ht="15" customHeight="1">
      <c r="A324" s="8">
        <v>322</v>
      </c>
      <c r="B324" s="19">
        <v>0.6286</v>
      </c>
      <c r="C324" s="19">
        <v>0.5881</v>
      </c>
      <c r="D324" s="17">
        <v>22215.67</v>
      </c>
      <c r="E324" s="19">
        <v>0.8694</v>
      </c>
      <c r="F324" s="19">
        <v>0.1292</v>
      </c>
      <c r="G324" s="17">
        <v>1435947.88</v>
      </c>
      <c r="H324" s="17">
        <v>1767330.26</v>
      </c>
      <c r="I324" s="8" t="s">
        <v>125</v>
      </c>
    </row>
    <row r="325" ht="15" customHeight="1">
      <c r="A325" s="7">
        <v>323</v>
      </c>
      <c r="B325" s="18">
        <v>0.5436</v>
      </c>
      <c r="C325" s="18">
        <v>1.0267</v>
      </c>
      <c r="D325" s="16">
        <v>26708.63</v>
      </c>
      <c r="E325" s="18">
        <v>0.923</v>
      </c>
      <c r="F325" s="18">
        <v>0.0326</v>
      </c>
      <c r="G325" s="16">
        <v>2308653.3</v>
      </c>
      <c r="H325" s="16">
        <v>2771089.5</v>
      </c>
      <c r="I325" s="7" t="s">
        <v>125</v>
      </c>
    </row>
    <row r="326" ht="15" customHeight="1">
      <c r="A326" s="8">
        <v>324</v>
      </c>
      <c r="B326" s="19">
        <v>0.6837</v>
      </c>
      <c r="C326" s="19">
        <v>0.5085</v>
      </c>
      <c r="D326" s="17">
        <v>25545.31</v>
      </c>
      <c r="E326" s="19">
        <v>0.9492</v>
      </c>
      <c r="F326" s="19">
        <v>0.0498</v>
      </c>
      <c r="G326" s="17">
        <v>1146198.13</v>
      </c>
      <c r="H326" s="17">
        <v>1410861.8</v>
      </c>
      <c r="I326" s="8" t="s">
        <v>125</v>
      </c>
    </row>
    <row r="327" ht="15" customHeight="1">
      <c r="A327" s="7">
        <v>325</v>
      </c>
      <c r="B327" s="18">
        <v>0.6332</v>
      </c>
      <c r="C327" s="18">
        <v>1.0089</v>
      </c>
      <c r="D327" s="16">
        <v>29044.3</v>
      </c>
      <c r="E327" s="18">
        <v>0.7785</v>
      </c>
      <c r="F327" s="18">
        <v>0.1458</v>
      </c>
      <c r="G327" s="16">
        <v>2660560.06</v>
      </c>
      <c r="H327" s="16">
        <v>3221538.54</v>
      </c>
      <c r="I327" s="7" t="s">
        <v>125</v>
      </c>
    </row>
    <row r="328" ht="15" customHeight="1">
      <c r="A328" s="8">
        <v>326</v>
      </c>
      <c r="B328" s="19">
        <v>0.6693</v>
      </c>
      <c r="C328" s="19">
        <v>1.0911</v>
      </c>
      <c r="D328" s="17">
        <v>30969.15</v>
      </c>
      <c r="E328" s="19">
        <v>0.8833</v>
      </c>
      <c r="F328" s="19">
        <v>0.1292</v>
      </c>
      <c r="G328" s="17">
        <v>3653226.35</v>
      </c>
      <c r="H328" s="17">
        <v>4389548.78</v>
      </c>
      <c r="I328" s="8" t="s">
        <v>125</v>
      </c>
    </row>
    <row r="329" ht="15" customHeight="1">
      <c r="A329" s="7">
        <v>327</v>
      </c>
      <c r="B329" s="18">
        <v>0.6678</v>
      </c>
      <c r="C329" s="18">
        <v>1.2516</v>
      </c>
      <c r="D329" s="16">
        <v>27667.06</v>
      </c>
      <c r="E329" s="18">
        <v>0.8482</v>
      </c>
      <c r="F329" s="18">
        <v>0.0808</v>
      </c>
      <c r="G329" s="16">
        <v>3909562.97</v>
      </c>
      <c r="H329" s="16">
        <v>4670560.68</v>
      </c>
      <c r="I329" s="7" t="s">
        <v>125</v>
      </c>
    </row>
    <row r="330" ht="15" customHeight="1">
      <c r="A330" s="8">
        <v>328</v>
      </c>
      <c r="B330" s="19">
        <v>0.6233</v>
      </c>
      <c r="C330" s="19">
        <v>1.0731</v>
      </c>
      <c r="D330" s="17">
        <v>27525.71</v>
      </c>
      <c r="E330" s="19">
        <v>0.8481</v>
      </c>
      <c r="F330" s="19">
        <v>0.0995</v>
      </c>
      <c r="G330" s="17">
        <v>2995507.51</v>
      </c>
      <c r="H330" s="17">
        <v>3601111.67</v>
      </c>
      <c r="I330" s="8" t="s">
        <v>125</v>
      </c>
    </row>
    <row r="331" ht="15" customHeight="1">
      <c r="A331" s="7">
        <v>329</v>
      </c>
      <c r="B331" s="18">
        <v>0.6533</v>
      </c>
      <c r="C331" s="18">
        <v>1.0953</v>
      </c>
      <c r="D331" s="16">
        <v>23914.07</v>
      </c>
      <c r="E331" s="18">
        <v>0.8695</v>
      </c>
      <c r="F331" s="18">
        <v>0.1638</v>
      </c>
      <c r="G331" s="16">
        <v>3912820.7</v>
      </c>
      <c r="H331" s="16">
        <v>4707690.51</v>
      </c>
      <c r="I331" s="7" t="s">
        <v>125</v>
      </c>
    </row>
    <row r="332" ht="15" customHeight="1">
      <c r="A332" s="8">
        <v>330</v>
      </c>
      <c r="B332" s="19">
        <v>0.5888</v>
      </c>
      <c r="C332" s="19">
        <v>1.0983</v>
      </c>
      <c r="D332" s="17">
        <v>21247.52</v>
      </c>
      <c r="E332" s="19">
        <v>0.8845</v>
      </c>
      <c r="F332" s="19">
        <v>0.1203</v>
      </c>
      <c r="G332" s="17">
        <v>3339710.84</v>
      </c>
      <c r="H332" s="17">
        <v>4012673.77</v>
      </c>
      <c r="I332" s="8" t="s">
        <v>125</v>
      </c>
    </row>
    <row r="333" ht="15" customHeight="1">
      <c r="A333" s="7">
        <v>331</v>
      </c>
      <c r="B333" s="18">
        <v>0.4054</v>
      </c>
      <c r="C333" s="18">
        <v>0.7111</v>
      </c>
      <c r="D333" s="16">
        <v>32520.56</v>
      </c>
      <c r="E333" s="18">
        <v>0.9276</v>
      </c>
      <c r="F333" s="18">
        <v>0.0611</v>
      </c>
      <c r="G333" s="16">
        <v>527094.73</v>
      </c>
      <c r="H333" s="16">
        <v>686508.58</v>
      </c>
      <c r="I333" s="7" t="s">
        <v>125</v>
      </c>
    </row>
    <row r="334" ht="15" customHeight="1">
      <c r="A334" s="8">
        <v>332</v>
      </c>
      <c r="B334" s="19">
        <v>0.7468</v>
      </c>
      <c r="C334" s="19">
        <v>0.921</v>
      </c>
      <c r="D334" s="17">
        <v>19614.84</v>
      </c>
      <c r="E334" s="19">
        <v>0.9332</v>
      </c>
      <c r="F334" s="19">
        <v>0.1112</v>
      </c>
      <c r="G334" s="17">
        <v>3863340.65</v>
      </c>
      <c r="H334" s="17">
        <v>4626707.41</v>
      </c>
      <c r="I334" s="8" t="s">
        <v>125</v>
      </c>
    </row>
    <row r="335" ht="15" customHeight="1">
      <c r="A335" s="7">
        <v>333</v>
      </c>
      <c r="B335" s="18">
        <v>0.4922</v>
      </c>
      <c r="C335" s="18">
        <v>0.8708</v>
      </c>
      <c r="D335" s="16">
        <v>32795.83</v>
      </c>
      <c r="E335" s="18">
        <v>0.9157</v>
      </c>
      <c r="F335" s="18">
        <v>0.1507</v>
      </c>
      <c r="G335" s="16">
        <v>1741470</v>
      </c>
      <c r="H335" s="16">
        <v>2137259.27</v>
      </c>
      <c r="I335" s="7" t="s">
        <v>125</v>
      </c>
    </row>
    <row r="336" ht="15" customHeight="1">
      <c r="A336" s="8">
        <v>334</v>
      </c>
      <c r="B336" s="19">
        <v>0.5704</v>
      </c>
      <c r="C336" s="19">
        <v>0.7319</v>
      </c>
      <c r="D336" s="17">
        <v>33165.63</v>
      </c>
      <c r="E336" s="19">
        <v>0.8153</v>
      </c>
      <c r="F336" s="19">
        <v>0.0652</v>
      </c>
      <c r="G336" s="17">
        <v>1032118.16</v>
      </c>
      <c r="H336" s="17">
        <v>1281127.36</v>
      </c>
      <c r="I336" s="8" t="s">
        <v>125</v>
      </c>
    </row>
    <row r="337" ht="15" customHeight="1">
      <c r="A337" s="7">
        <v>335</v>
      </c>
      <c r="B337" s="18">
        <v>0.762</v>
      </c>
      <c r="C337" s="18">
        <v>1.0292</v>
      </c>
      <c r="D337" s="16">
        <v>32972.27</v>
      </c>
      <c r="E337" s="18">
        <v>0.9081</v>
      </c>
      <c r="F337" s="18">
        <v>0.058</v>
      </c>
      <c r="G337" s="16">
        <v>3615222.93</v>
      </c>
      <c r="H337" s="16">
        <v>4315424.72</v>
      </c>
      <c r="I337" s="7" t="s">
        <v>125</v>
      </c>
    </row>
    <row r="338" ht="15" customHeight="1">
      <c r="A338" s="8">
        <v>336</v>
      </c>
      <c r="B338" s="19">
        <v>0.7613</v>
      </c>
      <c r="C338" s="19">
        <v>1.2237</v>
      </c>
      <c r="D338" s="17">
        <v>33065.59</v>
      </c>
      <c r="E338" s="19">
        <v>0.9531</v>
      </c>
      <c r="F338" s="19">
        <v>0.12</v>
      </c>
      <c r="G338" s="17">
        <v>5372561.89</v>
      </c>
      <c r="H338" s="17">
        <v>6416162.27</v>
      </c>
      <c r="I338" s="8" t="s">
        <v>125</v>
      </c>
    </row>
    <row r="339" ht="15" customHeight="1">
      <c r="A339" s="7">
        <v>337</v>
      </c>
      <c r="B339" s="18">
        <v>0.5569</v>
      </c>
      <c r="C339" s="18">
        <v>0.639</v>
      </c>
      <c r="D339" s="16">
        <v>32450.57</v>
      </c>
      <c r="E339" s="18">
        <v>0.8288</v>
      </c>
      <c r="F339" s="18">
        <v>0.1814</v>
      </c>
      <c r="G339" s="16">
        <v>1075050.02</v>
      </c>
      <c r="H339" s="16">
        <v>1354633.31</v>
      </c>
      <c r="I339" s="7" t="s">
        <v>125</v>
      </c>
    </row>
    <row r="340" ht="15" customHeight="1">
      <c r="A340" s="8">
        <v>338</v>
      </c>
      <c r="B340" s="19">
        <v>0.5256</v>
      </c>
      <c r="C340" s="19">
        <v>1.264</v>
      </c>
      <c r="D340" s="17">
        <v>29394.09</v>
      </c>
      <c r="E340" s="19">
        <v>0.9189</v>
      </c>
      <c r="F340" s="19">
        <v>0.1071</v>
      </c>
      <c r="G340" s="17">
        <v>3302160.64</v>
      </c>
      <c r="H340" s="17">
        <v>3965984.01</v>
      </c>
      <c r="I340" s="8" t="s">
        <v>125</v>
      </c>
    </row>
    <row r="341" ht="15" customHeight="1">
      <c r="A341" s="7">
        <v>339</v>
      </c>
      <c r="B341" s="18">
        <v>0.6775</v>
      </c>
      <c r="C341" s="18">
        <v>1.0708</v>
      </c>
      <c r="D341" s="16">
        <v>26349.75</v>
      </c>
      <c r="E341" s="18">
        <v>0.8574</v>
      </c>
      <c r="F341" s="18">
        <v>0.0624</v>
      </c>
      <c r="G341" s="16">
        <v>3214049</v>
      </c>
      <c r="H341" s="16">
        <v>3844579.27</v>
      </c>
      <c r="I341" s="7" t="s">
        <v>125</v>
      </c>
    </row>
    <row r="342" ht="15" customHeight="1">
      <c r="A342" s="8">
        <v>340</v>
      </c>
      <c r="B342" s="19">
        <v>0.6535</v>
      </c>
      <c r="C342" s="19">
        <v>1.1164</v>
      </c>
      <c r="D342" s="17">
        <v>26193.39</v>
      </c>
      <c r="E342" s="19">
        <v>0.9121</v>
      </c>
      <c r="F342" s="19">
        <v>0.1526</v>
      </c>
      <c r="G342" s="17">
        <v>4114517.5</v>
      </c>
      <c r="H342" s="17">
        <v>4942795.97</v>
      </c>
      <c r="I342" s="8" t="s">
        <v>125</v>
      </c>
    </row>
    <row r="343" ht="15" customHeight="1">
      <c r="A343" s="7">
        <v>341</v>
      </c>
      <c r="B343" s="18">
        <v>0.4741</v>
      </c>
      <c r="C343" s="18">
        <v>1.1307</v>
      </c>
      <c r="D343" s="16">
        <v>29818.09</v>
      </c>
      <c r="E343" s="18">
        <v>0.9575</v>
      </c>
      <c r="F343" s="18">
        <v>0.1068</v>
      </c>
      <c r="G343" s="16">
        <v>2561557.96</v>
      </c>
      <c r="H343" s="16">
        <v>3092506.34</v>
      </c>
      <c r="I343" s="7" t="s">
        <v>125</v>
      </c>
    </row>
    <row r="344" ht="15" customHeight="1">
      <c r="A344" s="8">
        <v>342</v>
      </c>
      <c r="B344" s="19">
        <v>0.6009</v>
      </c>
      <c r="C344" s="19">
        <v>1.12</v>
      </c>
      <c r="D344" s="17">
        <v>26619.61</v>
      </c>
      <c r="E344" s="19">
        <v>0.9202</v>
      </c>
      <c r="F344" s="19">
        <v>0.1015</v>
      </c>
      <c r="G344" s="17">
        <v>3419466.05</v>
      </c>
      <c r="H344" s="17">
        <v>4101394.15</v>
      </c>
      <c r="I344" s="8" t="s">
        <v>125</v>
      </c>
    </row>
    <row r="345" ht="15" customHeight="1">
      <c r="A345" s="7">
        <v>343</v>
      </c>
      <c r="B345" s="18">
        <v>0.5037</v>
      </c>
      <c r="C345" s="18">
        <v>0.9435</v>
      </c>
      <c r="D345" s="16">
        <v>30197.65</v>
      </c>
      <c r="E345" s="18">
        <v>0.918</v>
      </c>
      <c r="F345" s="18">
        <v>0.0789</v>
      </c>
      <c r="G345" s="16">
        <v>1858002.05</v>
      </c>
      <c r="H345" s="16">
        <v>2255452.04</v>
      </c>
      <c r="I345" s="7" t="s">
        <v>125</v>
      </c>
    </row>
    <row r="346" ht="15" customHeight="1">
      <c r="A346" s="8">
        <v>344</v>
      </c>
      <c r="B346" s="19">
        <v>0.7694</v>
      </c>
      <c r="C346" s="19">
        <v>0.8833</v>
      </c>
      <c r="D346" s="17">
        <v>29018.42</v>
      </c>
      <c r="E346" s="19">
        <v>0.8797</v>
      </c>
      <c r="F346" s="19">
        <v>0.1266</v>
      </c>
      <c r="G346" s="17">
        <v>3335391.76</v>
      </c>
      <c r="H346" s="17">
        <v>4012456.89</v>
      </c>
      <c r="I346" s="8" t="s">
        <v>125</v>
      </c>
    </row>
    <row r="347" ht="15" customHeight="1">
      <c r="A347" s="7">
        <v>345</v>
      </c>
      <c r="B347" s="18">
        <v>0.573</v>
      </c>
      <c r="C347" s="18">
        <v>0.7513</v>
      </c>
      <c r="D347" s="16">
        <v>25569.77</v>
      </c>
      <c r="E347" s="18">
        <v>0.9723</v>
      </c>
      <c r="F347" s="18">
        <v>0.0993</v>
      </c>
      <c r="G347" s="16">
        <v>1956080.55</v>
      </c>
      <c r="H347" s="16">
        <v>2375249.89</v>
      </c>
      <c r="I347" s="7" t="s">
        <v>125</v>
      </c>
    </row>
    <row r="348" ht="15" customHeight="1">
      <c r="A348" s="8">
        <v>346</v>
      </c>
      <c r="B348" s="19">
        <v>0.6638</v>
      </c>
      <c r="C348" s="19">
        <v>0.9365</v>
      </c>
      <c r="D348" s="17">
        <v>32904.47</v>
      </c>
      <c r="E348" s="19">
        <v>0.9227</v>
      </c>
      <c r="F348" s="19">
        <v>0.0741</v>
      </c>
      <c r="G348" s="17">
        <v>2736336.49</v>
      </c>
      <c r="H348" s="17">
        <v>3288216.42</v>
      </c>
      <c r="I348" s="8" t="s">
        <v>125</v>
      </c>
    </row>
    <row r="349" ht="15" customHeight="1">
      <c r="A349" s="7">
        <v>347</v>
      </c>
      <c r="B349" s="18">
        <v>0.7434</v>
      </c>
      <c r="C349" s="18">
        <v>1.0303</v>
      </c>
      <c r="D349" s="16">
        <v>31048.5</v>
      </c>
      <c r="E349" s="18">
        <v>0.8175</v>
      </c>
      <c r="F349" s="18">
        <v>0.0996</v>
      </c>
      <c r="G349" s="16">
        <v>3322737.01</v>
      </c>
      <c r="H349" s="16">
        <v>3987835.79</v>
      </c>
      <c r="I349" s="7" t="s">
        <v>125</v>
      </c>
    </row>
    <row r="350" ht="15" customHeight="1">
      <c r="A350" s="8">
        <v>348</v>
      </c>
      <c r="B350" s="19">
        <v>0.3641</v>
      </c>
      <c r="C350" s="19">
        <v>1.0268</v>
      </c>
      <c r="D350" s="17">
        <v>26152.64</v>
      </c>
      <c r="E350" s="19">
        <v>0.9268</v>
      </c>
      <c r="F350" s="19">
        <v>0.0839</v>
      </c>
      <c r="G350" s="17">
        <v>1353196.25</v>
      </c>
      <c r="H350" s="17">
        <v>1661465.9</v>
      </c>
      <c r="I350" s="8" t="s">
        <v>125</v>
      </c>
    </row>
    <row r="351" ht="15" customHeight="1">
      <c r="A351" s="7">
        <v>349</v>
      </c>
      <c r="B351" s="18">
        <v>0.7691</v>
      </c>
      <c r="C351" s="18">
        <v>0.8011</v>
      </c>
      <c r="D351" s="16">
        <v>23750.67</v>
      </c>
      <c r="E351" s="18">
        <v>0.7832</v>
      </c>
      <c r="F351" s="18">
        <v>0.0657</v>
      </c>
      <c r="G351" s="16">
        <v>2328527.38</v>
      </c>
      <c r="H351" s="16">
        <v>2804047.79</v>
      </c>
      <c r="I351" s="7" t="s">
        <v>125</v>
      </c>
    </row>
    <row r="352" ht="15" customHeight="1">
      <c r="A352" s="8">
        <v>350</v>
      </c>
      <c r="B352" s="19">
        <v>0.6935</v>
      </c>
      <c r="C352" s="19">
        <v>0.7626</v>
      </c>
      <c r="D352" s="17">
        <v>30200.18</v>
      </c>
      <c r="E352" s="19">
        <v>0.8334</v>
      </c>
      <c r="F352" s="19">
        <v>0.0646</v>
      </c>
      <c r="G352" s="17">
        <v>1830678.01</v>
      </c>
      <c r="H352" s="17">
        <v>2219473.28</v>
      </c>
      <c r="I352" s="8" t="s">
        <v>125</v>
      </c>
    </row>
    <row r="353" ht="15" customHeight="1">
      <c r="A353" s="7">
        <v>351</v>
      </c>
      <c r="B353" s="18">
        <v>0.7069</v>
      </c>
      <c r="C353" s="18">
        <v>0.7306</v>
      </c>
      <c r="D353" s="16">
        <v>29732.53</v>
      </c>
      <c r="E353" s="18">
        <v>0.7846</v>
      </c>
      <c r="F353" s="18">
        <v>0.1035</v>
      </c>
      <c r="G353" s="16">
        <v>1745585.04</v>
      </c>
      <c r="H353" s="16">
        <v>2129288.59</v>
      </c>
      <c r="I353" s="7" t="s">
        <v>125</v>
      </c>
    </row>
    <row r="354" ht="15" customHeight="1">
      <c r="A354" s="8">
        <v>352</v>
      </c>
      <c r="B354" s="19">
        <v>0.6496</v>
      </c>
      <c r="C354" s="19">
        <v>1.2394</v>
      </c>
      <c r="D354" s="17">
        <v>26636.66</v>
      </c>
      <c r="E354" s="19">
        <v>0.9256</v>
      </c>
      <c r="F354" s="19">
        <v>0.0351</v>
      </c>
      <c r="G354" s="17">
        <v>3882478.33</v>
      </c>
      <c r="H354" s="17">
        <v>4618344.92</v>
      </c>
      <c r="I354" s="8" t="s">
        <v>125</v>
      </c>
    </row>
    <row r="355" ht="15" customHeight="1">
      <c r="A355" s="7">
        <v>353</v>
      </c>
      <c r="B355" s="18">
        <v>0.6249</v>
      </c>
      <c r="C355" s="18">
        <v>0.6894</v>
      </c>
      <c r="D355" s="16">
        <v>31099.48</v>
      </c>
      <c r="E355" s="18">
        <v>0.7951</v>
      </c>
      <c r="F355" s="18">
        <v>0.1549</v>
      </c>
      <c r="G355" s="16">
        <v>1413703.68</v>
      </c>
      <c r="H355" s="16">
        <v>1749750.58</v>
      </c>
      <c r="I355" s="7" t="s">
        <v>125</v>
      </c>
    </row>
    <row r="356" ht="15" customHeight="1">
      <c r="A356" s="8">
        <v>354</v>
      </c>
      <c r="B356" s="19">
        <v>0.5795</v>
      </c>
      <c r="C356" s="19">
        <v>0.8666</v>
      </c>
      <c r="D356" s="17">
        <v>25469.91</v>
      </c>
      <c r="E356" s="19">
        <v>0.9217</v>
      </c>
      <c r="F356" s="19">
        <v>0.0872</v>
      </c>
      <c r="G356" s="17">
        <v>2231698.73</v>
      </c>
      <c r="H356" s="17">
        <v>2696669.87</v>
      </c>
      <c r="I356" s="8" t="s">
        <v>125</v>
      </c>
    </row>
    <row r="357" ht="15" customHeight="1">
      <c r="A357" s="7">
        <v>355</v>
      </c>
      <c r="B357" s="18">
        <v>0.595</v>
      </c>
      <c r="C357" s="18">
        <v>0.7444</v>
      </c>
      <c r="D357" s="16">
        <v>36955.38</v>
      </c>
      <c r="E357" s="18">
        <v>0.9394</v>
      </c>
      <c r="F357" s="18">
        <v>0.1117</v>
      </c>
      <c r="G357" s="16">
        <v>1637592.87</v>
      </c>
      <c r="H357" s="16">
        <v>2006098.05</v>
      </c>
      <c r="I357" s="7" t="s">
        <v>125</v>
      </c>
    </row>
    <row r="358" ht="15" customHeight="1">
      <c r="A358" s="8">
        <v>356</v>
      </c>
      <c r="B358" s="19">
        <v>0.667</v>
      </c>
      <c r="C358" s="19">
        <v>1.1709</v>
      </c>
      <c r="D358" s="17">
        <v>34698.2</v>
      </c>
      <c r="E358" s="19">
        <v>0.7883</v>
      </c>
      <c r="F358" s="19">
        <v>0.0122</v>
      </c>
      <c r="G358" s="17">
        <v>2627210.35</v>
      </c>
      <c r="H358" s="17">
        <v>3138098.54</v>
      </c>
      <c r="I358" s="8" t="s">
        <v>125</v>
      </c>
    </row>
    <row r="359" ht="15" customHeight="1">
      <c r="A359" s="7">
        <v>357</v>
      </c>
      <c r="B359" s="18">
        <v>0.7484</v>
      </c>
      <c r="C359" s="18">
        <v>1.188</v>
      </c>
      <c r="D359" s="16">
        <v>16698.38</v>
      </c>
      <c r="E359" s="18">
        <v>0.7893</v>
      </c>
      <c r="F359" s="18">
        <v>0.0995</v>
      </c>
      <c r="G359" s="16">
        <v>4322306.84</v>
      </c>
      <c r="H359" s="16">
        <v>5162250.23</v>
      </c>
      <c r="I359" s="7" t="s">
        <v>125</v>
      </c>
    </row>
    <row r="360" ht="15" customHeight="1">
      <c r="A360" s="8">
        <v>358</v>
      </c>
      <c r="B360" s="19">
        <v>0.6552</v>
      </c>
      <c r="C360" s="19">
        <v>0.8658</v>
      </c>
      <c r="D360" s="17">
        <v>32505.62</v>
      </c>
      <c r="E360" s="19">
        <v>0.8331</v>
      </c>
      <c r="F360" s="19">
        <v>0.0993</v>
      </c>
      <c r="G360" s="17">
        <v>2141509.83</v>
      </c>
      <c r="H360" s="17">
        <v>2595678.83</v>
      </c>
      <c r="I360" s="8" t="s">
        <v>125</v>
      </c>
    </row>
    <row r="361" ht="15" customHeight="1">
      <c r="A361" s="7">
        <v>359</v>
      </c>
      <c r="B361" s="18">
        <v>0.5438</v>
      </c>
      <c r="C361" s="18">
        <v>1.0337</v>
      </c>
      <c r="D361" s="16">
        <v>32883.58</v>
      </c>
      <c r="E361" s="18">
        <v>0.9321</v>
      </c>
      <c r="F361" s="18">
        <v>0.09</v>
      </c>
      <c r="G361" s="16">
        <v>2461479.58</v>
      </c>
      <c r="H361" s="16">
        <v>2969962.8</v>
      </c>
      <c r="I361" s="7" t="s">
        <v>125</v>
      </c>
    </row>
    <row r="362" ht="15" customHeight="1">
      <c r="A362" s="8">
        <v>360</v>
      </c>
      <c r="B362" s="19">
        <v>0.4235</v>
      </c>
      <c r="C362" s="19">
        <v>1.137</v>
      </c>
      <c r="D362" s="17">
        <v>24238.36</v>
      </c>
      <c r="E362" s="19">
        <v>0.8868</v>
      </c>
      <c r="F362" s="19">
        <v>0.0481</v>
      </c>
      <c r="G362" s="17">
        <v>1850561.19</v>
      </c>
      <c r="H362" s="17">
        <v>2237553.77</v>
      </c>
      <c r="I362" s="8" t="s">
        <v>125</v>
      </c>
    </row>
    <row r="363" ht="15" customHeight="1">
      <c r="A363" s="7">
        <v>361</v>
      </c>
      <c r="B363" s="18">
        <v>0.5949</v>
      </c>
      <c r="C363" s="18">
        <v>0.9519</v>
      </c>
      <c r="D363" s="16">
        <v>29546.4</v>
      </c>
      <c r="E363" s="18">
        <v>0.9007</v>
      </c>
      <c r="F363" s="18">
        <v>0.149</v>
      </c>
      <c r="G363" s="16">
        <v>2761502.02</v>
      </c>
      <c r="H363" s="16">
        <v>3342130.9</v>
      </c>
      <c r="I363" s="7" t="s">
        <v>125</v>
      </c>
    </row>
    <row r="364" ht="15" customHeight="1">
      <c r="A364" s="8">
        <v>362</v>
      </c>
      <c r="B364" s="19">
        <v>0.7579</v>
      </c>
      <c r="C364" s="19">
        <v>1.243</v>
      </c>
      <c r="D364" s="17">
        <v>32050.36</v>
      </c>
      <c r="E364" s="19">
        <v>0.7648</v>
      </c>
      <c r="F364" s="19">
        <v>0.076</v>
      </c>
      <c r="G364" s="17">
        <v>3823941.42</v>
      </c>
      <c r="H364" s="17">
        <v>4568587.63</v>
      </c>
      <c r="I364" s="8" t="s">
        <v>125</v>
      </c>
    </row>
    <row r="365" ht="15" customHeight="1">
      <c r="A365" s="7">
        <v>363</v>
      </c>
      <c r="B365" s="18">
        <v>0.5238</v>
      </c>
      <c r="C365" s="18">
        <v>1.1796</v>
      </c>
      <c r="D365" s="16">
        <v>22661.92</v>
      </c>
      <c r="E365" s="18">
        <v>0.9491</v>
      </c>
      <c r="F365" s="18">
        <v>0.0769</v>
      </c>
      <c r="G365" s="16">
        <v>3157731.47</v>
      </c>
      <c r="H365" s="16">
        <v>3782966.46</v>
      </c>
      <c r="I365" s="7" t="s">
        <v>125</v>
      </c>
    </row>
    <row r="366" ht="15" customHeight="1">
      <c r="A366" s="8">
        <v>364</v>
      </c>
      <c r="B366" s="19">
        <v>0.6053</v>
      </c>
      <c r="C366" s="19">
        <v>0.9313</v>
      </c>
      <c r="D366" s="17">
        <v>30527.2</v>
      </c>
      <c r="E366" s="19">
        <v>0.9715</v>
      </c>
      <c r="F366" s="19">
        <v>0.219</v>
      </c>
      <c r="G366" s="17">
        <v>3430230.14</v>
      </c>
      <c r="H366" s="17">
        <v>4159312.28</v>
      </c>
      <c r="I366" s="8" t="s">
        <v>125</v>
      </c>
    </row>
    <row r="367" ht="15" customHeight="1">
      <c r="A367" s="7">
        <v>365</v>
      </c>
      <c r="B367" s="18">
        <v>0.4692</v>
      </c>
      <c r="C367" s="18">
        <v>1.0688</v>
      </c>
      <c r="D367" s="16">
        <v>31619.45</v>
      </c>
      <c r="E367" s="18">
        <v>0.7816</v>
      </c>
      <c r="F367" s="18">
        <v>0.0965</v>
      </c>
      <c r="G367" s="16">
        <v>1562259.7</v>
      </c>
      <c r="H367" s="16">
        <v>1911945.89</v>
      </c>
      <c r="I367" s="7" t="s">
        <v>125</v>
      </c>
    </row>
    <row r="368" ht="15" customHeight="1">
      <c r="A368" s="8">
        <v>366</v>
      </c>
      <c r="B368" s="19">
        <v>0.5252</v>
      </c>
      <c r="C368" s="19">
        <v>0.8753</v>
      </c>
      <c r="D368" s="17">
        <v>29413.06</v>
      </c>
      <c r="E368" s="19">
        <v>0.8296</v>
      </c>
      <c r="F368" s="19">
        <v>0.0909</v>
      </c>
      <c r="G368" s="17">
        <v>1531006.65</v>
      </c>
      <c r="H368" s="17">
        <v>1873221.7</v>
      </c>
      <c r="I368" s="8" t="s">
        <v>125</v>
      </c>
    </row>
    <row r="369" ht="15" customHeight="1">
      <c r="A369" s="7">
        <v>367</v>
      </c>
      <c r="B369" s="18">
        <v>0.6165</v>
      </c>
      <c r="C369" s="18">
        <v>0.9371</v>
      </c>
      <c r="D369" s="16">
        <v>32991.26</v>
      </c>
      <c r="E369" s="18">
        <v>0.8636</v>
      </c>
      <c r="F369" s="18">
        <v>0.1292</v>
      </c>
      <c r="G369" s="16">
        <v>2467737.23</v>
      </c>
      <c r="H369" s="16">
        <v>2989850.3</v>
      </c>
      <c r="I369" s="7" t="s">
        <v>125</v>
      </c>
    </row>
    <row r="370" ht="15" customHeight="1">
      <c r="A370" s="8">
        <v>368</v>
      </c>
      <c r="B370" s="19">
        <v>0.6231</v>
      </c>
      <c r="C370" s="19">
        <v>0.9811</v>
      </c>
      <c r="D370" s="17">
        <v>27185.17</v>
      </c>
      <c r="E370" s="19">
        <v>0.9314</v>
      </c>
      <c r="F370" s="19">
        <v>0.2141</v>
      </c>
      <c r="G370" s="17">
        <v>3689903.97</v>
      </c>
      <c r="H370" s="17">
        <v>4464208.6</v>
      </c>
      <c r="I370" s="8" t="s">
        <v>125</v>
      </c>
    </row>
    <row r="371" ht="15" customHeight="1">
      <c r="A371" s="7">
        <v>369</v>
      </c>
      <c r="B371" s="18">
        <v>0.6567</v>
      </c>
      <c r="C371" s="18">
        <v>0.6287</v>
      </c>
      <c r="D371" s="16">
        <v>21556.13</v>
      </c>
      <c r="E371" s="18">
        <v>0.8299</v>
      </c>
      <c r="F371" s="18">
        <v>0.1125</v>
      </c>
      <c r="G371" s="16">
        <v>1562972.79</v>
      </c>
      <c r="H371" s="16">
        <v>1913611.8</v>
      </c>
      <c r="I371" s="7" t="s">
        <v>125</v>
      </c>
    </row>
    <row r="372" ht="15" customHeight="1">
      <c r="A372" s="8">
        <v>370</v>
      </c>
      <c r="B372" s="19">
        <v>0.5225</v>
      </c>
      <c r="C372" s="19">
        <v>0.9072</v>
      </c>
      <c r="D372" s="17">
        <v>20526.68</v>
      </c>
      <c r="E372" s="19">
        <v>0.9219</v>
      </c>
      <c r="F372" s="19">
        <v>0.1166</v>
      </c>
      <c r="G372" s="17">
        <v>2321162.96</v>
      </c>
      <c r="H372" s="17">
        <v>2808990.1</v>
      </c>
      <c r="I372" s="8" t="s">
        <v>125</v>
      </c>
    </row>
    <row r="373" ht="15" customHeight="1">
      <c r="A373" s="7">
        <v>371</v>
      </c>
      <c r="B373" s="18">
        <v>0.7106</v>
      </c>
      <c r="C373" s="18">
        <v>0.9693</v>
      </c>
      <c r="D373" s="16">
        <v>27117.1</v>
      </c>
      <c r="E373" s="18">
        <v>0.7845</v>
      </c>
      <c r="F373" s="18">
        <v>0.0337</v>
      </c>
      <c r="G373" s="16">
        <v>2471699.96</v>
      </c>
      <c r="H373" s="16">
        <v>2962736.93</v>
      </c>
      <c r="I373" s="7" t="s">
        <v>125</v>
      </c>
    </row>
    <row r="374" ht="15" customHeight="1">
      <c r="A374" s="8">
        <v>372</v>
      </c>
      <c r="B374" s="19">
        <v>0.5846</v>
      </c>
      <c r="C374" s="19">
        <v>0.7838</v>
      </c>
      <c r="D374" s="17">
        <v>36664.09</v>
      </c>
      <c r="E374" s="19">
        <v>0.9693</v>
      </c>
      <c r="F374" s="19">
        <v>0.1182</v>
      </c>
      <c r="G374" s="17">
        <v>1885646.3</v>
      </c>
      <c r="H374" s="17">
        <v>2300481.92</v>
      </c>
      <c r="I374" s="8" t="s">
        <v>125</v>
      </c>
    </row>
    <row r="375" ht="15" customHeight="1">
      <c r="A375" s="7">
        <v>373</v>
      </c>
      <c r="B375" s="18">
        <v>0.6523</v>
      </c>
      <c r="C375" s="18">
        <v>0.946</v>
      </c>
      <c r="D375" s="16">
        <v>27065.72</v>
      </c>
      <c r="E375" s="18">
        <v>0.9161</v>
      </c>
      <c r="F375" s="18">
        <v>0.0924</v>
      </c>
      <c r="G375" s="16">
        <v>2955830.05</v>
      </c>
      <c r="H375" s="16">
        <v>3551744.3</v>
      </c>
      <c r="I375" s="7" t="s">
        <v>125</v>
      </c>
    </row>
    <row r="376" ht="15" customHeight="1">
      <c r="A376" s="8">
        <v>374</v>
      </c>
      <c r="B376" s="19">
        <v>0.5331</v>
      </c>
      <c r="C376" s="19">
        <v>0.9147</v>
      </c>
      <c r="D376" s="17">
        <v>28391.56</v>
      </c>
      <c r="E376" s="19">
        <v>0.8205</v>
      </c>
      <c r="F376" s="19">
        <v>0.1053</v>
      </c>
      <c r="G376" s="17">
        <v>1755722.66</v>
      </c>
      <c r="H376" s="17">
        <v>2141319.76</v>
      </c>
      <c r="I376" s="8" t="s">
        <v>125</v>
      </c>
    </row>
    <row r="377" ht="15" customHeight="1">
      <c r="A377" s="7">
        <v>375</v>
      </c>
      <c r="B377" s="18">
        <v>0.6913</v>
      </c>
      <c r="C377" s="18">
        <v>1.2208</v>
      </c>
      <c r="D377" s="16">
        <v>29796.3</v>
      </c>
      <c r="E377" s="18">
        <v>0.8676</v>
      </c>
      <c r="F377" s="18">
        <v>0.0625</v>
      </c>
      <c r="G377" s="16">
        <v>3884220.63</v>
      </c>
      <c r="H377" s="16">
        <v>4633096.04</v>
      </c>
      <c r="I377" s="7" t="s">
        <v>125</v>
      </c>
    </row>
    <row r="378" ht="15" customHeight="1">
      <c r="A378" s="8">
        <v>376</v>
      </c>
      <c r="B378" s="19">
        <v>0.5797</v>
      </c>
      <c r="C378" s="19">
        <v>1.1808</v>
      </c>
      <c r="D378" s="17">
        <v>30070.89</v>
      </c>
      <c r="E378" s="19">
        <v>0.9274</v>
      </c>
      <c r="F378" s="19">
        <v>0.0809</v>
      </c>
      <c r="G378" s="17">
        <v>3301543.89</v>
      </c>
      <c r="H378" s="17">
        <v>3955362.03</v>
      </c>
      <c r="I378" s="8" t="s">
        <v>125</v>
      </c>
    </row>
    <row r="379" ht="15" customHeight="1">
      <c r="A379" s="7">
        <v>377</v>
      </c>
      <c r="B379" s="18">
        <v>0.7315</v>
      </c>
      <c r="C379" s="18">
        <v>0.8184</v>
      </c>
      <c r="D379" s="16">
        <v>26595.6</v>
      </c>
      <c r="E379" s="18">
        <v>0.9182</v>
      </c>
      <c r="F379" s="18">
        <v>0.1721</v>
      </c>
      <c r="G379" s="16">
        <v>3295475.88</v>
      </c>
      <c r="H379" s="16">
        <v>3980818.7</v>
      </c>
      <c r="I379" s="7" t="s">
        <v>125</v>
      </c>
    </row>
    <row r="380" ht="15" customHeight="1">
      <c r="A380" s="8">
        <v>378</v>
      </c>
      <c r="B380" s="19">
        <v>0.7063</v>
      </c>
      <c r="C380" s="19">
        <v>0.8639</v>
      </c>
      <c r="D380" s="17">
        <v>23280.04</v>
      </c>
      <c r="E380" s="19">
        <v>0.8776</v>
      </c>
      <c r="F380" s="19">
        <v>0.1351</v>
      </c>
      <c r="G380" s="17">
        <v>3079524.11</v>
      </c>
      <c r="H380" s="17">
        <v>3711210.64</v>
      </c>
      <c r="I380" s="8" t="s">
        <v>125</v>
      </c>
    </row>
    <row r="381" ht="15" customHeight="1">
      <c r="A381" s="7">
        <v>379</v>
      </c>
      <c r="B381" s="18">
        <v>0.5418</v>
      </c>
      <c r="C381" s="18">
        <v>1.3692</v>
      </c>
      <c r="D381" s="16">
        <v>24267.59</v>
      </c>
      <c r="E381" s="18">
        <v>0.8727</v>
      </c>
      <c r="F381" s="18">
        <v>-0.0134</v>
      </c>
      <c r="G381" s="16">
        <v>3009421.79</v>
      </c>
      <c r="H381" s="16">
        <v>3575750.49</v>
      </c>
      <c r="I381" s="7" t="s">
        <v>125</v>
      </c>
    </row>
    <row r="382" ht="15" customHeight="1">
      <c r="A382" s="8">
        <v>380</v>
      </c>
      <c r="B382" s="19">
        <v>0.7113</v>
      </c>
      <c r="C382" s="19">
        <v>0.9607</v>
      </c>
      <c r="D382" s="17">
        <v>25846.47</v>
      </c>
      <c r="E382" s="19">
        <v>0.9086</v>
      </c>
      <c r="F382" s="19">
        <v>0.024</v>
      </c>
      <c r="G382" s="17">
        <v>3001068.97</v>
      </c>
      <c r="H382" s="17">
        <v>3580060.68</v>
      </c>
      <c r="I382" s="8" t="s">
        <v>125</v>
      </c>
    </row>
    <row r="383" ht="15" customHeight="1">
      <c r="A383" s="7">
        <v>381</v>
      </c>
      <c r="B383" s="18">
        <v>0.7582</v>
      </c>
      <c r="C383" s="18">
        <v>0.9848</v>
      </c>
      <c r="D383" s="16">
        <v>23057.79</v>
      </c>
      <c r="E383" s="18">
        <v>0.9115</v>
      </c>
      <c r="F383" s="18">
        <v>0.1376</v>
      </c>
      <c r="G383" s="16">
        <v>4227120.13</v>
      </c>
      <c r="H383" s="16">
        <v>5068343.67</v>
      </c>
      <c r="I383" s="7" t="s">
        <v>125</v>
      </c>
    </row>
    <row r="384" ht="15" customHeight="1">
      <c r="A384" s="8">
        <v>382</v>
      </c>
      <c r="B384" s="19">
        <v>0.7107</v>
      </c>
      <c r="C384" s="19">
        <v>1.0241</v>
      </c>
      <c r="D384" s="17">
        <v>34667.54</v>
      </c>
      <c r="E384" s="19">
        <v>0.9501</v>
      </c>
      <c r="F384" s="19">
        <v>0.1112</v>
      </c>
      <c r="G384" s="17">
        <v>3773112.34</v>
      </c>
      <c r="H384" s="17">
        <v>4524754.56</v>
      </c>
      <c r="I384" s="8" t="s">
        <v>125</v>
      </c>
    </row>
    <row r="385" ht="15" customHeight="1">
      <c r="A385" s="7">
        <v>383</v>
      </c>
      <c r="B385" s="18">
        <v>0.6165</v>
      </c>
      <c r="C385" s="18">
        <v>1.0003</v>
      </c>
      <c r="D385" s="16">
        <v>27335.89</v>
      </c>
      <c r="E385" s="18">
        <v>0.9026</v>
      </c>
      <c r="F385" s="18">
        <v>0.0745</v>
      </c>
      <c r="G385" s="16">
        <v>2788032.67</v>
      </c>
      <c r="H385" s="16">
        <v>3348047.87</v>
      </c>
      <c r="I385" s="7" t="s">
        <v>125</v>
      </c>
    </row>
    <row r="386" ht="15" customHeight="1">
      <c r="A386" s="8">
        <v>384</v>
      </c>
      <c r="B386" s="19">
        <v>0.6222</v>
      </c>
      <c r="C386" s="19">
        <v>0.8775</v>
      </c>
      <c r="D386" s="17">
        <v>23513.89</v>
      </c>
      <c r="E386" s="19">
        <v>0.8031</v>
      </c>
      <c r="F386" s="19">
        <v>0.0889</v>
      </c>
      <c r="G386" s="17">
        <v>2121723.64</v>
      </c>
      <c r="H386" s="17">
        <v>2567149.32</v>
      </c>
      <c r="I386" s="8" t="s">
        <v>125</v>
      </c>
    </row>
    <row r="387" ht="15" customHeight="1">
      <c r="A387" s="7">
        <v>385</v>
      </c>
      <c r="B387" s="18">
        <v>0.6574</v>
      </c>
      <c r="C387" s="18">
        <v>0.905</v>
      </c>
      <c r="D387" s="16">
        <v>21644.24</v>
      </c>
      <c r="E387" s="18">
        <v>0.8721</v>
      </c>
      <c r="F387" s="18">
        <v>0.0821</v>
      </c>
      <c r="G387" s="16">
        <v>2730738.88</v>
      </c>
      <c r="H387" s="16">
        <v>3281890.15</v>
      </c>
      <c r="I387" s="7" t="s">
        <v>125</v>
      </c>
    </row>
    <row r="388" ht="15" customHeight="1">
      <c r="A388" s="8">
        <v>386</v>
      </c>
      <c r="B388" s="19">
        <v>0.6143</v>
      </c>
      <c r="C388" s="19">
        <v>0.9279</v>
      </c>
      <c r="D388" s="17">
        <v>25850.18</v>
      </c>
      <c r="E388" s="19">
        <v>0.9444</v>
      </c>
      <c r="F388" s="19">
        <v>0.164</v>
      </c>
      <c r="G388" s="17">
        <v>3180603.08</v>
      </c>
      <c r="H388" s="17">
        <v>3841596.17</v>
      </c>
      <c r="I388" s="8" t="s">
        <v>125</v>
      </c>
    </row>
    <row r="389" ht="15" customHeight="1">
      <c r="A389" s="7">
        <v>387</v>
      </c>
      <c r="B389" s="18">
        <v>0.7208</v>
      </c>
      <c r="C389" s="18">
        <v>0.9816</v>
      </c>
      <c r="D389" s="16">
        <v>27418.77</v>
      </c>
      <c r="E389" s="18">
        <v>0.8234</v>
      </c>
      <c r="F389" s="18">
        <v>0.0737</v>
      </c>
      <c r="G389" s="16">
        <v>2965765.89</v>
      </c>
      <c r="H389" s="16">
        <v>3556890.51</v>
      </c>
      <c r="I389" s="7" t="s">
        <v>125</v>
      </c>
    </row>
    <row r="390" ht="15" customHeight="1">
      <c r="A390" s="8">
        <v>388</v>
      </c>
      <c r="B390" s="19">
        <v>0.5605</v>
      </c>
      <c r="C390" s="19">
        <v>0.7641</v>
      </c>
      <c r="D390" s="17">
        <v>30133.98</v>
      </c>
      <c r="E390" s="19">
        <v>0.8918</v>
      </c>
      <c r="F390" s="19">
        <v>0.1109</v>
      </c>
      <c r="G390" s="17">
        <v>1587845.9</v>
      </c>
      <c r="H390" s="17">
        <v>1945173.08</v>
      </c>
      <c r="I390" s="8" t="s">
        <v>125</v>
      </c>
    </row>
    <row r="391" ht="15" customHeight="1">
      <c r="A391" s="7">
        <v>389</v>
      </c>
      <c r="B391" s="18">
        <v>0.553</v>
      </c>
      <c r="C391" s="18">
        <v>1.2888</v>
      </c>
      <c r="D391" s="16">
        <v>29093.59</v>
      </c>
      <c r="E391" s="18">
        <v>0.787</v>
      </c>
      <c r="F391" s="18">
        <v>0.1521</v>
      </c>
      <c r="G391" s="16">
        <v>3194553.3</v>
      </c>
      <c r="H391" s="16">
        <v>3855316</v>
      </c>
      <c r="I391" s="7" t="s">
        <v>125</v>
      </c>
    </row>
    <row r="392" ht="15" customHeight="1">
      <c r="A392" s="8">
        <v>390</v>
      </c>
      <c r="B392" s="19">
        <v>0.3968</v>
      </c>
      <c r="C392" s="19">
        <v>0.9481</v>
      </c>
      <c r="D392" s="17">
        <v>23693.52</v>
      </c>
      <c r="E392" s="19">
        <v>0.8639</v>
      </c>
      <c r="F392" s="19">
        <v>0.1634</v>
      </c>
      <c r="G392" s="17">
        <v>1530561.23</v>
      </c>
      <c r="H392" s="17">
        <v>1886792.44</v>
      </c>
      <c r="I392" s="8" t="s">
        <v>125</v>
      </c>
    </row>
    <row r="393" ht="15" customHeight="1">
      <c r="A393" s="7">
        <v>391</v>
      </c>
      <c r="B393" s="18">
        <v>0.6627</v>
      </c>
      <c r="C393" s="18">
        <v>1.1426</v>
      </c>
      <c r="D393" s="16">
        <v>21035.22</v>
      </c>
      <c r="E393" s="18">
        <v>0.8939</v>
      </c>
      <c r="F393" s="18">
        <v>0.1405</v>
      </c>
      <c r="G393" s="16">
        <v>4279607.84</v>
      </c>
      <c r="H393" s="16">
        <v>5130879.62</v>
      </c>
      <c r="I393" s="7" t="s">
        <v>125</v>
      </c>
    </row>
    <row r="394" ht="15" customHeight="1">
      <c r="A394" s="8">
        <v>392</v>
      </c>
      <c r="B394" s="19">
        <v>0.5494</v>
      </c>
      <c r="C394" s="19">
        <v>0.7161</v>
      </c>
      <c r="D394" s="17">
        <v>19979.42</v>
      </c>
      <c r="E394" s="19">
        <v>0.8868</v>
      </c>
      <c r="F394" s="19">
        <v>0.1583</v>
      </c>
      <c r="G394" s="17">
        <v>1818890.07</v>
      </c>
      <c r="H394" s="17">
        <v>2225463.3</v>
      </c>
      <c r="I394" s="8" t="s">
        <v>125</v>
      </c>
    </row>
    <row r="395" ht="15" customHeight="1">
      <c r="A395" s="7">
        <v>393</v>
      </c>
      <c r="B395" s="18">
        <v>0.6427</v>
      </c>
      <c r="C395" s="18">
        <v>1.2022</v>
      </c>
      <c r="D395" s="16">
        <v>28124.51</v>
      </c>
      <c r="E395" s="18">
        <v>0.8986</v>
      </c>
      <c r="F395" s="18">
        <v>0.155</v>
      </c>
      <c r="G395" s="16">
        <v>4300385.47</v>
      </c>
      <c r="H395" s="16">
        <v>5164537.9</v>
      </c>
      <c r="I395" s="7" t="s">
        <v>125</v>
      </c>
    </row>
    <row r="396" ht="15" customHeight="1">
      <c r="A396" s="8">
        <v>394</v>
      </c>
      <c r="B396" s="19">
        <v>0.6059</v>
      </c>
      <c r="C396" s="19">
        <v>1.0076</v>
      </c>
      <c r="D396" s="17">
        <v>25178.58</v>
      </c>
      <c r="E396" s="19">
        <v>0.9121</v>
      </c>
      <c r="F396" s="19">
        <v>0.0506</v>
      </c>
      <c r="G396" s="17">
        <v>2730029.02</v>
      </c>
      <c r="H396" s="17">
        <v>3271367.81</v>
      </c>
      <c r="I396" s="8" t="s">
        <v>125</v>
      </c>
    </row>
    <row r="397" ht="15" customHeight="1">
      <c r="A397" s="7">
        <v>395</v>
      </c>
      <c r="B397" s="18">
        <v>0.7093</v>
      </c>
      <c r="C397" s="18">
        <v>0.9272</v>
      </c>
      <c r="D397" s="16">
        <v>28656.19</v>
      </c>
      <c r="E397" s="18">
        <v>0.8805</v>
      </c>
      <c r="F397" s="18">
        <v>0.1098</v>
      </c>
      <c r="G397" s="16">
        <v>3105461.02</v>
      </c>
      <c r="H397" s="16">
        <v>3734737.6</v>
      </c>
      <c r="I397" s="7" t="s">
        <v>125</v>
      </c>
    </row>
    <row r="398" ht="15" customHeight="1">
      <c r="A398" s="8">
        <v>396</v>
      </c>
      <c r="B398" s="19">
        <v>0.6129</v>
      </c>
      <c r="C398" s="19">
        <v>0.6546</v>
      </c>
      <c r="D398" s="17">
        <v>35299.71</v>
      </c>
      <c r="E398" s="19">
        <v>0.9213</v>
      </c>
      <c r="F398" s="19">
        <v>0.1117</v>
      </c>
      <c r="G398" s="17">
        <v>1339564.7</v>
      </c>
      <c r="H398" s="17">
        <v>1653962.38</v>
      </c>
      <c r="I398" s="8" t="s">
        <v>125</v>
      </c>
    </row>
    <row r="399" ht="15" customHeight="1">
      <c r="A399" s="7">
        <v>397</v>
      </c>
      <c r="B399" s="18">
        <v>0.5161</v>
      </c>
      <c r="C399" s="18">
        <v>1.249</v>
      </c>
      <c r="D399" s="16">
        <v>24274.53</v>
      </c>
      <c r="E399" s="18">
        <v>0.8955</v>
      </c>
      <c r="F399" s="18">
        <v>0.099</v>
      </c>
      <c r="G399" s="16">
        <v>3165655.34</v>
      </c>
      <c r="H399" s="16">
        <v>3800616.13</v>
      </c>
      <c r="I399" s="7" t="s">
        <v>125</v>
      </c>
    </row>
    <row r="400" ht="15" customHeight="1">
      <c r="A400" s="8">
        <v>398</v>
      </c>
      <c r="B400" s="19">
        <v>0.6187</v>
      </c>
      <c r="C400" s="19">
        <v>1.0862</v>
      </c>
      <c r="D400" s="17">
        <v>33840.22</v>
      </c>
      <c r="E400" s="19">
        <v>0.939</v>
      </c>
      <c r="F400" s="19">
        <v>0.1478</v>
      </c>
      <c r="G400" s="17">
        <v>3575823.03</v>
      </c>
      <c r="H400" s="17">
        <v>4306601.66</v>
      </c>
      <c r="I400" s="8" t="s">
        <v>125</v>
      </c>
    </row>
    <row r="401" ht="15" customHeight="1">
      <c r="A401" s="7">
        <v>399</v>
      </c>
      <c r="B401" s="18">
        <v>0.6344</v>
      </c>
      <c r="C401" s="18">
        <v>1.2057</v>
      </c>
      <c r="D401" s="16">
        <v>34316.72</v>
      </c>
      <c r="E401" s="18">
        <v>0.9258</v>
      </c>
      <c r="F401" s="18">
        <v>0.1013</v>
      </c>
      <c r="G401" s="16">
        <v>3839190.52</v>
      </c>
      <c r="H401" s="16">
        <v>4598248.54</v>
      </c>
      <c r="I401" s="7" t="s">
        <v>125</v>
      </c>
    </row>
    <row r="402" ht="15" customHeight="1">
      <c r="A402" s="8">
        <v>400</v>
      </c>
      <c r="B402" s="19">
        <v>0.5595</v>
      </c>
      <c r="C402" s="19">
        <v>0.987</v>
      </c>
      <c r="D402" s="17">
        <v>27681.65</v>
      </c>
      <c r="E402" s="19">
        <v>0.9408</v>
      </c>
      <c r="F402" s="19">
        <v>0.1274</v>
      </c>
      <c r="G402" s="17">
        <v>2780544.01</v>
      </c>
      <c r="H402" s="17">
        <v>3356952.53</v>
      </c>
      <c r="I402" s="8" t="s">
        <v>125</v>
      </c>
    </row>
    <row r="403" ht="15" customHeight="1">
      <c r="A403" s="7">
        <v>401</v>
      </c>
      <c r="B403" s="18">
        <v>0.6677</v>
      </c>
      <c r="C403" s="18">
        <v>1.0174</v>
      </c>
      <c r="D403" s="16">
        <v>37152.68</v>
      </c>
      <c r="E403" s="18">
        <v>0.8372</v>
      </c>
      <c r="F403" s="18">
        <v>0.074</v>
      </c>
      <c r="G403" s="16">
        <v>2569918.07</v>
      </c>
      <c r="H403" s="16">
        <v>3093219.21</v>
      </c>
      <c r="I403" s="7" t="s">
        <v>125</v>
      </c>
    </row>
    <row r="404" ht="15" customHeight="1">
      <c r="A404" s="8">
        <v>402</v>
      </c>
      <c r="B404" s="19">
        <v>0.6009</v>
      </c>
      <c r="C404" s="19">
        <v>1.0247</v>
      </c>
      <c r="D404" s="17">
        <v>33576.57</v>
      </c>
      <c r="E404" s="19">
        <v>0.891</v>
      </c>
      <c r="F404" s="19">
        <v>0.0791</v>
      </c>
      <c r="G404" s="17">
        <v>2562816.72</v>
      </c>
      <c r="H404" s="17">
        <v>3085853.11</v>
      </c>
      <c r="I404" s="8" t="s">
        <v>125</v>
      </c>
    </row>
    <row r="405" ht="15" customHeight="1">
      <c r="A405" s="7">
        <v>403</v>
      </c>
      <c r="B405" s="18">
        <v>0.4463</v>
      </c>
      <c r="C405" s="18">
        <v>1.0133</v>
      </c>
      <c r="D405" s="16">
        <v>32298.24</v>
      </c>
      <c r="E405" s="18">
        <v>0.8036</v>
      </c>
      <c r="F405" s="18">
        <v>0.1235</v>
      </c>
      <c r="G405" s="16">
        <v>1427918.98</v>
      </c>
      <c r="H405" s="16">
        <v>1760024.04</v>
      </c>
      <c r="I405" s="7" t="s">
        <v>125</v>
      </c>
    </row>
    <row r="406" ht="15" customHeight="1">
      <c r="A406" s="8">
        <v>404</v>
      </c>
      <c r="B406" s="19">
        <v>0.6664</v>
      </c>
      <c r="C406" s="19">
        <v>0.8397</v>
      </c>
      <c r="D406" s="17">
        <v>36403.72</v>
      </c>
      <c r="E406" s="19">
        <v>0.8244</v>
      </c>
      <c r="F406" s="19">
        <v>0.0879</v>
      </c>
      <c r="G406" s="17">
        <v>1887117.88</v>
      </c>
      <c r="H406" s="17">
        <v>2293631.62</v>
      </c>
      <c r="I406" s="8" t="s">
        <v>125</v>
      </c>
    </row>
    <row r="407" ht="15" customHeight="1">
      <c r="A407" s="7">
        <v>405</v>
      </c>
      <c r="B407" s="18">
        <v>0.4389</v>
      </c>
      <c r="C407" s="18">
        <v>0.9967</v>
      </c>
      <c r="D407" s="16">
        <v>31622.82</v>
      </c>
      <c r="E407" s="18">
        <v>0.8952</v>
      </c>
      <c r="F407" s="18">
        <v>0.1004</v>
      </c>
      <c r="G407" s="16">
        <v>1573843.89</v>
      </c>
      <c r="H407" s="16">
        <v>1926549.67</v>
      </c>
      <c r="I407" s="7" t="s">
        <v>125</v>
      </c>
    </row>
    <row r="408" ht="15" customHeight="1">
      <c r="A408" s="8">
        <v>406</v>
      </c>
      <c r="B408" s="19">
        <v>0.5658</v>
      </c>
      <c r="C408" s="19">
        <v>0.7763</v>
      </c>
      <c r="D408" s="17">
        <v>36813.64</v>
      </c>
      <c r="E408" s="19">
        <v>0.9292</v>
      </c>
      <c r="F408" s="19">
        <v>0.1722</v>
      </c>
      <c r="G408" s="17">
        <v>1831583.81</v>
      </c>
      <c r="H408" s="17">
        <v>2251123.67</v>
      </c>
      <c r="I408" s="8" t="s">
        <v>125</v>
      </c>
    </row>
    <row r="409" ht="15" customHeight="1">
      <c r="A409" s="7">
        <v>407</v>
      </c>
      <c r="B409" s="18">
        <v>0.4887</v>
      </c>
      <c r="C409" s="18">
        <v>1.0105</v>
      </c>
      <c r="D409" s="16">
        <v>23711.78</v>
      </c>
      <c r="E409" s="18">
        <v>0.8868</v>
      </c>
      <c r="F409" s="18">
        <v>0.108</v>
      </c>
      <c r="G409" s="16">
        <v>2192859.29</v>
      </c>
      <c r="H409" s="16">
        <v>2656227.93</v>
      </c>
      <c r="I409" s="7" t="s">
        <v>125</v>
      </c>
    </row>
    <row r="410" ht="15" customHeight="1">
      <c r="A410" s="8">
        <v>408</v>
      </c>
      <c r="B410" s="19">
        <v>0.5659</v>
      </c>
      <c r="C410" s="19">
        <v>0.9392</v>
      </c>
      <c r="D410" s="17">
        <v>24839.47</v>
      </c>
      <c r="E410" s="19">
        <v>0.9383</v>
      </c>
      <c r="F410" s="19">
        <v>0.053</v>
      </c>
      <c r="G410" s="17">
        <v>2349643.88</v>
      </c>
      <c r="H410" s="17">
        <v>2825244.91</v>
      </c>
      <c r="I410" s="8" t="s">
        <v>125</v>
      </c>
    </row>
    <row r="411" ht="15" customHeight="1">
      <c r="A411" s="7">
        <v>409</v>
      </c>
      <c r="B411" s="18">
        <v>0.596</v>
      </c>
      <c r="C411" s="18">
        <v>0.7236</v>
      </c>
      <c r="D411" s="16">
        <v>28765.04</v>
      </c>
      <c r="E411" s="18">
        <v>0.8529</v>
      </c>
      <c r="F411" s="18">
        <v>0.0802</v>
      </c>
      <c r="G411" s="16">
        <v>1414434.1</v>
      </c>
      <c r="H411" s="16">
        <v>1733332.74</v>
      </c>
      <c r="I411" s="7" t="s">
        <v>125</v>
      </c>
    </row>
    <row r="412" ht="15" customHeight="1">
      <c r="A412" s="8">
        <v>410</v>
      </c>
      <c r="B412" s="19">
        <v>0.469</v>
      </c>
      <c r="C412" s="19">
        <v>0.6355</v>
      </c>
      <c r="D412" s="17">
        <v>18442.57</v>
      </c>
      <c r="E412" s="19">
        <v>0.7666</v>
      </c>
      <c r="F412" s="19">
        <v>0.0725</v>
      </c>
      <c r="G412" s="17">
        <v>711602.5</v>
      </c>
      <c r="H412" s="17">
        <v>902638.76</v>
      </c>
      <c r="I412" s="8" t="s">
        <v>125</v>
      </c>
    </row>
    <row r="413" ht="15" customHeight="1">
      <c r="A413" s="7">
        <v>411</v>
      </c>
      <c r="B413" s="18">
        <v>0.6364</v>
      </c>
      <c r="C413" s="18">
        <v>0.8224</v>
      </c>
      <c r="D413" s="16">
        <v>23649.29</v>
      </c>
      <c r="E413" s="18">
        <v>0.9096</v>
      </c>
      <c r="F413" s="18">
        <v>0.0611</v>
      </c>
      <c r="G413" s="16">
        <v>2265229.38</v>
      </c>
      <c r="H413" s="16">
        <v>2728259.31</v>
      </c>
      <c r="I413" s="7" t="s">
        <v>125</v>
      </c>
    </row>
    <row r="414" ht="15" customHeight="1">
      <c r="A414" s="8">
        <v>412</v>
      </c>
      <c r="B414" s="19">
        <v>0.4749</v>
      </c>
      <c r="C414" s="19">
        <v>1.05</v>
      </c>
      <c r="D414" s="17">
        <v>32133.24</v>
      </c>
      <c r="E414" s="19">
        <v>0.8583</v>
      </c>
      <c r="F414" s="19">
        <v>0.1257</v>
      </c>
      <c r="G414" s="17">
        <v>1934303.54</v>
      </c>
      <c r="H414" s="17">
        <v>2358482.25</v>
      </c>
      <c r="I414" s="8" t="s">
        <v>125</v>
      </c>
    </row>
    <row r="415" ht="15" customHeight="1">
      <c r="A415" s="7">
        <v>413</v>
      </c>
      <c r="B415" s="18">
        <v>0.5045</v>
      </c>
      <c r="C415" s="18">
        <v>1.0224</v>
      </c>
      <c r="D415" s="16">
        <v>22046.59</v>
      </c>
      <c r="E415" s="18">
        <v>0.9147</v>
      </c>
      <c r="F415" s="18">
        <v>0.0912</v>
      </c>
      <c r="G415" s="16">
        <v>2419703.48</v>
      </c>
      <c r="H415" s="16">
        <v>2918445.89</v>
      </c>
      <c r="I415" s="7" t="s">
        <v>125</v>
      </c>
    </row>
    <row r="416" ht="15" customHeight="1">
      <c r="A416" s="8">
        <v>414</v>
      </c>
      <c r="B416" s="19">
        <v>0.5303</v>
      </c>
      <c r="C416" s="19">
        <v>0.9112</v>
      </c>
      <c r="D416" s="17">
        <v>22317.79</v>
      </c>
      <c r="E416" s="19">
        <v>0.9373</v>
      </c>
      <c r="F416" s="19">
        <v>0.1381</v>
      </c>
      <c r="G416" s="17">
        <v>2483513.68</v>
      </c>
      <c r="H416" s="17">
        <v>3007365.92</v>
      </c>
      <c r="I416" s="8" t="s">
        <v>125</v>
      </c>
    </row>
    <row r="417" ht="15" customHeight="1">
      <c r="A417" s="7">
        <v>415</v>
      </c>
      <c r="B417" s="18">
        <v>0.7952</v>
      </c>
      <c r="C417" s="18">
        <v>1.3966</v>
      </c>
      <c r="D417" s="16">
        <v>17629.63</v>
      </c>
      <c r="E417" s="18">
        <v>0.9457</v>
      </c>
      <c r="F417" s="18">
        <v>0.0854</v>
      </c>
      <c r="G417" s="16">
        <v>6725184.02</v>
      </c>
      <c r="H417" s="16">
        <v>7985955.06</v>
      </c>
      <c r="I417" s="7" t="s">
        <v>125</v>
      </c>
    </row>
    <row r="418" ht="15" customHeight="1">
      <c r="A418" s="8">
        <v>416</v>
      </c>
      <c r="B418" s="19">
        <v>0.6731</v>
      </c>
      <c r="C418" s="19">
        <v>1.0654</v>
      </c>
      <c r="D418" s="17">
        <v>19683.22</v>
      </c>
      <c r="E418" s="19">
        <v>0.9549</v>
      </c>
      <c r="F418" s="19">
        <v>0.063</v>
      </c>
      <c r="G418" s="17">
        <v>3865125.36</v>
      </c>
      <c r="H418" s="17">
        <v>4609120.03</v>
      </c>
      <c r="I418" s="8" t="s">
        <v>125</v>
      </c>
    </row>
    <row r="419" ht="15" customHeight="1">
      <c r="A419" s="7">
        <v>417</v>
      </c>
      <c r="B419" s="18">
        <v>0.6763</v>
      </c>
      <c r="C419" s="18">
        <v>0.9347</v>
      </c>
      <c r="D419" s="16">
        <v>28846.23</v>
      </c>
      <c r="E419" s="18">
        <v>0.9143</v>
      </c>
      <c r="F419" s="18">
        <v>0.1082</v>
      </c>
      <c r="G419" s="16">
        <v>3083305.77</v>
      </c>
      <c r="H419" s="16">
        <v>3708107.61</v>
      </c>
      <c r="I419" s="7" t="s">
        <v>125</v>
      </c>
    </row>
    <row r="420" ht="15" customHeight="1">
      <c r="A420" s="8">
        <v>418</v>
      </c>
      <c r="B420" s="19">
        <v>0.5067</v>
      </c>
      <c r="C420" s="19">
        <v>0.8107</v>
      </c>
      <c r="D420" s="17">
        <v>33180.26</v>
      </c>
      <c r="E420" s="19">
        <v>0.8562</v>
      </c>
      <c r="F420" s="19">
        <v>0.0687</v>
      </c>
      <c r="G420" s="17">
        <v>1123927.01</v>
      </c>
      <c r="H420" s="17">
        <v>1389846.17</v>
      </c>
      <c r="I420" s="8" t="s">
        <v>125</v>
      </c>
    </row>
    <row r="421" ht="15" customHeight="1">
      <c r="A421" s="7">
        <v>419</v>
      </c>
      <c r="B421" s="18">
        <v>0.6292</v>
      </c>
      <c r="C421" s="18">
        <v>1.0339</v>
      </c>
      <c r="D421" s="16">
        <v>24832.55</v>
      </c>
      <c r="E421" s="18">
        <v>0.9263</v>
      </c>
      <c r="F421" s="18">
        <v>0.0809</v>
      </c>
      <c r="G421" s="16">
        <v>3230276.91</v>
      </c>
      <c r="H421" s="16">
        <v>3870283.64</v>
      </c>
      <c r="I421" s="7" t="s">
        <v>125</v>
      </c>
    </row>
    <row r="422" ht="15" customHeight="1">
      <c r="A422" s="8">
        <v>420</v>
      </c>
      <c r="B422" s="19">
        <v>0.6687</v>
      </c>
      <c r="C422" s="19">
        <v>0.7862</v>
      </c>
      <c r="D422" s="17">
        <v>32046.37</v>
      </c>
      <c r="E422" s="19">
        <v>0.8914</v>
      </c>
      <c r="F422" s="19">
        <v>0.1544</v>
      </c>
      <c r="G422" s="17">
        <v>2384385.89</v>
      </c>
      <c r="H422" s="17">
        <v>2898658.11</v>
      </c>
      <c r="I422" s="8" t="s">
        <v>125</v>
      </c>
    </row>
    <row r="423" ht="15" customHeight="1">
      <c r="A423" s="7">
        <v>421</v>
      </c>
      <c r="B423" s="18">
        <v>0.4893</v>
      </c>
      <c r="C423" s="18">
        <v>1.2414</v>
      </c>
      <c r="D423" s="16">
        <v>31034.12</v>
      </c>
      <c r="E423" s="18">
        <v>0.9371</v>
      </c>
      <c r="F423" s="18">
        <v>0.1228</v>
      </c>
      <c r="G423" s="16">
        <v>3032361.73</v>
      </c>
      <c r="H423" s="16">
        <v>3653891.47</v>
      </c>
      <c r="I423" s="7" t="s">
        <v>125</v>
      </c>
    </row>
    <row r="424" ht="15" customHeight="1">
      <c r="A424" s="8">
        <v>422</v>
      </c>
      <c r="B424" s="19">
        <v>0.5293</v>
      </c>
      <c r="C424" s="19">
        <v>0.6718</v>
      </c>
      <c r="D424" s="17">
        <v>28492.32</v>
      </c>
      <c r="E424" s="19">
        <v>0.8932</v>
      </c>
      <c r="F424" s="19">
        <v>0.1539</v>
      </c>
      <c r="G424" s="17">
        <v>1293022.96</v>
      </c>
      <c r="H424" s="17">
        <v>1605691.15</v>
      </c>
      <c r="I424" s="8" t="s">
        <v>125</v>
      </c>
    </row>
    <row r="425" ht="15" customHeight="1">
      <c r="A425" s="7">
        <v>423</v>
      </c>
      <c r="B425" s="18">
        <v>0.5096</v>
      </c>
      <c r="C425" s="18">
        <v>1.2435</v>
      </c>
      <c r="D425" s="16">
        <v>27159.98</v>
      </c>
      <c r="E425" s="18">
        <v>0.9077</v>
      </c>
      <c r="F425" s="18">
        <v>0.0411</v>
      </c>
      <c r="G425" s="16">
        <v>2745487.88</v>
      </c>
      <c r="H425" s="16">
        <v>3286523.66</v>
      </c>
      <c r="I425" s="7" t="s">
        <v>125</v>
      </c>
    </row>
    <row r="426" ht="15" customHeight="1">
      <c r="A426" s="8">
        <v>424</v>
      </c>
      <c r="B426" s="19">
        <v>0.5689</v>
      </c>
      <c r="C426" s="19">
        <v>1.0269</v>
      </c>
      <c r="D426" s="17">
        <v>21430.47</v>
      </c>
      <c r="E426" s="19">
        <v>0.9268</v>
      </c>
      <c r="F426" s="19">
        <v>0.1287</v>
      </c>
      <c r="G426" s="17">
        <v>3148215.6</v>
      </c>
      <c r="H426" s="17">
        <v>3789539.66</v>
      </c>
      <c r="I426" s="8" t="s">
        <v>125</v>
      </c>
    </row>
    <row r="427" ht="15" customHeight="1">
      <c r="A427" s="7">
        <v>425</v>
      </c>
      <c r="B427" s="18">
        <v>0.5492</v>
      </c>
      <c r="C427" s="18">
        <v>0.8066</v>
      </c>
      <c r="D427" s="16">
        <v>34042.38</v>
      </c>
      <c r="E427" s="18">
        <v>0.8413</v>
      </c>
      <c r="F427" s="18">
        <v>0.0666</v>
      </c>
      <c r="G427" s="16">
        <v>1238848.76</v>
      </c>
      <c r="H427" s="16">
        <v>1524698.73</v>
      </c>
      <c r="I427" s="7" t="s">
        <v>125</v>
      </c>
    </row>
    <row r="428" ht="15" customHeight="1">
      <c r="A428" s="8">
        <v>426</v>
      </c>
      <c r="B428" s="19">
        <v>0.6586</v>
      </c>
      <c r="C428" s="19">
        <v>1.1894</v>
      </c>
      <c r="D428" s="17">
        <v>34206.51</v>
      </c>
      <c r="E428" s="19">
        <v>0.8647</v>
      </c>
      <c r="F428" s="19">
        <v>0.0925</v>
      </c>
      <c r="G428" s="17">
        <v>3556955.1</v>
      </c>
      <c r="H428" s="17">
        <v>4261806.14</v>
      </c>
      <c r="I428" s="8" t="s">
        <v>125</v>
      </c>
    </row>
    <row r="429" ht="15" customHeight="1">
      <c r="A429" s="7">
        <v>427</v>
      </c>
      <c r="B429" s="18">
        <v>0.6315</v>
      </c>
      <c r="C429" s="18">
        <v>0.9765</v>
      </c>
      <c r="D429" s="16">
        <v>27846.17</v>
      </c>
      <c r="E429" s="18">
        <v>0.9759</v>
      </c>
      <c r="F429" s="18">
        <v>0.0807</v>
      </c>
      <c r="G429" s="16">
        <v>3130535.5</v>
      </c>
      <c r="H429" s="16">
        <v>3753464.87</v>
      </c>
      <c r="I429" s="7" t="s">
        <v>125</v>
      </c>
    </row>
    <row r="430" ht="15" customHeight="1">
      <c r="A430" s="8">
        <v>428</v>
      </c>
      <c r="B430" s="19">
        <v>0.345</v>
      </c>
      <c r="C430" s="19">
        <v>1.1893</v>
      </c>
      <c r="D430" s="17">
        <v>28301.52</v>
      </c>
      <c r="E430" s="19">
        <v>0.8816</v>
      </c>
      <c r="F430" s="19">
        <v>0.1147</v>
      </c>
      <c r="G430" s="17">
        <v>1505841.07</v>
      </c>
      <c r="H430" s="17">
        <v>1848732.65</v>
      </c>
      <c r="I430" s="8" t="s">
        <v>125</v>
      </c>
    </row>
    <row r="431" ht="15" customHeight="1">
      <c r="A431" s="7">
        <v>429</v>
      </c>
      <c r="B431" s="18">
        <v>0.58</v>
      </c>
      <c r="C431" s="18">
        <v>1.2685</v>
      </c>
      <c r="D431" s="16">
        <v>19578.02</v>
      </c>
      <c r="E431" s="18">
        <v>0.8711</v>
      </c>
      <c r="F431" s="18">
        <v>0.041</v>
      </c>
      <c r="G431" s="16">
        <v>3427312.17</v>
      </c>
      <c r="H431" s="16">
        <v>4085949.64</v>
      </c>
      <c r="I431" s="7" t="s">
        <v>125</v>
      </c>
    </row>
    <row r="432" ht="15" customHeight="1">
      <c r="A432" s="8">
        <v>430</v>
      </c>
      <c r="B432" s="19">
        <v>0.6135</v>
      </c>
      <c r="C432" s="19">
        <v>0.8345</v>
      </c>
      <c r="D432" s="17">
        <v>30637.83</v>
      </c>
      <c r="E432" s="19">
        <v>0.8836</v>
      </c>
      <c r="F432" s="19">
        <v>0.1539</v>
      </c>
      <c r="G432" s="17">
        <v>2295551.28</v>
      </c>
      <c r="H432" s="17">
        <v>2792806.17</v>
      </c>
      <c r="I432" s="8" t="s">
        <v>125</v>
      </c>
    </row>
    <row r="433" ht="15" customHeight="1">
      <c r="A433" s="7">
        <v>431</v>
      </c>
      <c r="B433" s="18">
        <v>0.7044</v>
      </c>
      <c r="C433" s="18">
        <v>1.0874</v>
      </c>
      <c r="D433" s="16">
        <v>24357.42</v>
      </c>
      <c r="E433" s="18">
        <v>0.8359</v>
      </c>
      <c r="F433" s="18">
        <v>0.1069</v>
      </c>
      <c r="G433" s="16">
        <v>3678353.37</v>
      </c>
      <c r="H433" s="16">
        <v>4408172.66</v>
      </c>
      <c r="I433" s="7" t="s">
        <v>125</v>
      </c>
    </row>
    <row r="434" ht="15" customHeight="1">
      <c r="A434" s="8">
        <v>432</v>
      </c>
      <c r="B434" s="19">
        <v>0.7597</v>
      </c>
      <c r="C434" s="19">
        <v>0.8041</v>
      </c>
      <c r="D434" s="17">
        <v>27711.12</v>
      </c>
      <c r="E434" s="19">
        <v>0.8579</v>
      </c>
      <c r="F434" s="19">
        <v>0.1211</v>
      </c>
      <c r="G434" s="17">
        <v>2780873.73</v>
      </c>
      <c r="H434" s="17">
        <v>3355280.71</v>
      </c>
      <c r="I434" s="8" t="s">
        <v>125</v>
      </c>
    </row>
    <row r="435" ht="15" customHeight="1">
      <c r="A435" s="7">
        <v>433</v>
      </c>
      <c r="B435" s="18">
        <v>0.6954</v>
      </c>
      <c r="C435" s="18">
        <v>1.1439</v>
      </c>
      <c r="D435" s="16">
        <v>25483.1</v>
      </c>
      <c r="E435" s="18">
        <v>0.8285</v>
      </c>
      <c r="F435" s="18">
        <v>0.0475</v>
      </c>
      <c r="G435" s="16">
        <v>3409661.47</v>
      </c>
      <c r="H435" s="16">
        <v>4068473.96</v>
      </c>
      <c r="I435" s="7" t="s">
        <v>125</v>
      </c>
    </row>
    <row r="436" ht="15" customHeight="1">
      <c r="A436" s="8">
        <v>434</v>
      </c>
      <c r="B436" s="19">
        <v>0.5807</v>
      </c>
      <c r="C436" s="19">
        <v>0.9875</v>
      </c>
      <c r="D436" s="17">
        <v>30612.16</v>
      </c>
      <c r="E436" s="19">
        <v>0.8473</v>
      </c>
      <c r="F436" s="19">
        <v>0.0922</v>
      </c>
      <c r="G436" s="17">
        <v>2264262.61</v>
      </c>
      <c r="H436" s="17">
        <v>2737742.94</v>
      </c>
      <c r="I436" s="8" t="s">
        <v>125</v>
      </c>
    </row>
    <row r="437" ht="15" customHeight="1">
      <c r="A437" s="7">
        <v>435</v>
      </c>
      <c r="B437" s="18">
        <v>0.4432</v>
      </c>
      <c r="C437" s="18">
        <v>0.7873</v>
      </c>
      <c r="D437" s="16">
        <v>29162.68</v>
      </c>
      <c r="E437" s="18">
        <v>0.8584</v>
      </c>
      <c r="F437" s="18">
        <v>0.1084</v>
      </c>
      <c r="G437" s="16">
        <v>991827.48</v>
      </c>
      <c r="H437" s="16">
        <v>1241242.07</v>
      </c>
      <c r="I437" s="7" t="s">
        <v>125</v>
      </c>
    </row>
    <row r="438" ht="15" customHeight="1">
      <c r="A438" s="8">
        <v>436</v>
      </c>
      <c r="B438" s="19">
        <v>0.6768</v>
      </c>
      <c r="C438" s="19">
        <v>1.0288</v>
      </c>
      <c r="D438" s="17">
        <v>27254.19</v>
      </c>
      <c r="E438" s="19">
        <v>0.8429</v>
      </c>
      <c r="F438" s="19">
        <v>0.0571</v>
      </c>
      <c r="G438" s="17">
        <v>2910173.96</v>
      </c>
      <c r="H438" s="17">
        <v>3485594.6</v>
      </c>
      <c r="I438" s="8" t="s">
        <v>125</v>
      </c>
    </row>
    <row r="439" ht="15" customHeight="1">
      <c r="A439" s="7">
        <v>437</v>
      </c>
      <c r="B439" s="18">
        <v>0.6374</v>
      </c>
      <c r="C439" s="18">
        <v>1.1175</v>
      </c>
      <c r="D439" s="16">
        <v>26225.76</v>
      </c>
      <c r="E439" s="18">
        <v>0.8869</v>
      </c>
      <c r="F439" s="18">
        <v>0.1439</v>
      </c>
      <c r="G439" s="16">
        <v>3789967.4</v>
      </c>
      <c r="H439" s="16">
        <v>4555335.24</v>
      </c>
      <c r="I439" s="7" t="s">
        <v>125</v>
      </c>
    </row>
    <row r="440" ht="15" customHeight="1">
      <c r="A440" s="8">
        <v>438</v>
      </c>
      <c r="B440" s="19">
        <v>0.6291</v>
      </c>
      <c r="C440" s="19">
        <v>0.8607</v>
      </c>
      <c r="D440" s="17">
        <v>27771.75</v>
      </c>
      <c r="E440" s="19">
        <v>0.8358</v>
      </c>
      <c r="F440" s="19">
        <v>0.0557</v>
      </c>
      <c r="G440" s="17">
        <v>1950288.67</v>
      </c>
      <c r="H440" s="17">
        <v>2357247.64</v>
      </c>
      <c r="I440" s="8" t="s">
        <v>125</v>
      </c>
    </row>
    <row r="441" ht="15" customHeight="1">
      <c r="A441" s="7">
        <v>439</v>
      </c>
      <c r="B441" s="18">
        <v>0.64</v>
      </c>
      <c r="C441" s="18">
        <v>1.166</v>
      </c>
      <c r="D441" s="16">
        <v>29082.41</v>
      </c>
      <c r="E441" s="18">
        <v>0.9343</v>
      </c>
      <c r="F441" s="18">
        <v>0.1001</v>
      </c>
      <c r="G441" s="16">
        <v>3910989.39</v>
      </c>
      <c r="H441" s="16">
        <v>4680941.03</v>
      </c>
      <c r="I441" s="7" t="s">
        <v>125</v>
      </c>
    </row>
    <row r="442" ht="15" customHeight="1">
      <c r="A442" s="8">
        <v>440</v>
      </c>
      <c r="B442" s="19">
        <v>0.7721</v>
      </c>
      <c r="C442" s="19">
        <v>0.8959</v>
      </c>
      <c r="D442" s="17">
        <v>27684.63</v>
      </c>
      <c r="E442" s="19">
        <v>0.9646</v>
      </c>
      <c r="F442" s="19">
        <v>0.0659</v>
      </c>
      <c r="G442" s="17">
        <v>3513289.19</v>
      </c>
      <c r="H442" s="17">
        <v>4198022.8</v>
      </c>
      <c r="I442" s="8" t="s">
        <v>125</v>
      </c>
    </row>
    <row r="443" ht="15" customHeight="1">
      <c r="A443" s="7">
        <v>441</v>
      </c>
      <c r="B443" s="18">
        <v>0.4353</v>
      </c>
      <c r="C443" s="18">
        <v>1.0205</v>
      </c>
      <c r="D443" s="16">
        <v>29759.83</v>
      </c>
      <c r="E443" s="18">
        <v>0.8532</v>
      </c>
      <c r="F443" s="18">
        <v>0.0375</v>
      </c>
      <c r="G443" s="16">
        <v>1312124.82</v>
      </c>
      <c r="H443" s="16">
        <v>1603537.25</v>
      </c>
      <c r="I443" s="7" t="s">
        <v>125</v>
      </c>
    </row>
    <row r="444" ht="15" customHeight="1">
      <c r="A444" s="8">
        <v>442</v>
      </c>
      <c r="B444" s="19">
        <v>0.4932</v>
      </c>
      <c r="C444" s="19">
        <v>1.1092</v>
      </c>
      <c r="D444" s="17">
        <v>24253.68</v>
      </c>
      <c r="E444" s="19">
        <v>0.8994</v>
      </c>
      <c r="F444" s="19">
        <v>0.0744</v>
      </c>
      <c r="G444" s="17">
        <v>2420511.67</v>
      </c>
      <c r="H444" s="17">
        <v>2914922.2</v>
      </c>
      <c r="I444" s="8" t="s">
        <v>125</v>
      </c>
    </row>
    <row r="445" ht="15" customHeight="1">
      <c r="A445" s="7">
        <v>443</v>
      </c>
      <c r="B445" s="18">
        <v>0.5611</v>
      </c>
      <c r="C445" s="18">
        <v>1.1071</v>
      </c>
      <c r="D445" s="16">
        <v>24224.99</v>
      </c>
      <c r="E445" s="18">
        <v>0.9534</v>
      </c>
      <c r="F445" s="18">
        <v>0.1543</v>
      </c>
      <c r="G445" s="16">
        <v>3605534.41</v>
      </c>
      <c r="H445" s="16">
        <v>4340424.54</v>
      </c>
      <c r="I445" s="7" t="s">
        <v>125</v>
      </c>
    </row>
    <row r="446" ht="15" customHeight="1">
      <c r="A446" s="8">
        <v>444</v>
      </c>
      <c r="B446" s="19">
        <v>0.4394</v>
      </c>
      <c r="C446" s="19">
        <v>0.9523</v>
      </c>
      <c r="D446" s="17">
        <v>30752.77</v>
      </c>
      <c r="E446" s="19">
        <v>0.7971</v>
      </c>
      <c r="F446" s="19">
        <v>0.1215</v>
      </c>
      <c r="G446" s="17">
        <v>1240882.06</v>
      </c>
      <c r="H446" s="17">
        <v>1538242.43</v>
      </c>
      <c r="I446" s="8" t="s">
        <v>125</v>
      </c>
    </row>
    <row r="447" ht="15" customHeight="1">
      <c r="A447" s="7">
        <v>445</v>
      </c>
      <c r="B447" s="18">
        <v>0.6394</v>
      </c>
      <c r="C447" s="18">
        <v>0.9482</v>
      </c>
      <c r="D447" s="16">
        <v>29553.8</v>
      </c>
      <c r="E447" s="18">
        <v>0.9006</v>
      </c>
      <c r="F447" s="18">
        <v>0.1546</v>
      </c>
      <c r="G447" s="16">
        <v>3075977.09</v>
      </c>
      <c r="H447" s="16">
        <v>3716079.29</v>
      </c>
      <c r="I447" s="7" t="s">
        <v>125</v>
      </c>
    </row>
    <row r="448" ht="15" customHeight="1">
      <c r="A448" s="8">
        <v>446</v>
      </c>
      <c r="B448" s="19">
        <v>0.4997</v>
      </c>
      <c r="C448" s="19">
        <v>1.3615</v>
      </c>
      <c r="D448" s="17">
        <v>25308.22</v>
      </c>
      <c r="E448" s="19">
        <v>0.8412</v>
      </c>
      <c r="F448" s="19">
        <v>0.1615</v>
      </c>
      <c r="G448" s="17">
        <v>3456054.68</v>
      </c>
      <c r="H448" s="17">
        <v>4166615.08</v>
      </c>
      <c r="I448" s="8" t="s">
        <v>125</v>
      </c>
    </row>
    <row r="449" ht="15" customHeight="1">
      <c r="A449" s="7">
        <v>447</v>
      </c>
      <c r="B449" s="18">
        <v>0.6068</v>
      </c>
      <c r="C449" s="18">
        <v>0.8046</v>
      </c>
      <c r="D449" s="16">
        <v>23740.13</v>
      </c>
      <c r="E449" s="18">
        <v>0.9325</v>
      </c>
      <c r="F449" s="18">
        <v>0.1538</v>
      </c>
      <c r="G449" s="16">
        <v>2530904.29</v>
      </c>
      <c r="H449" s="16">
        <v>3068463.81</v>
      </c>
      <c r="I449" s="7" t="s">
        <v>125</v>
      </c>
    </row>
    <row r="450" ht="15" customHeight="1">
      <c r="A450" s="8">
        <v>448</v>
      </c>
      <c r="B450" s="19">
        <v>0.6172</v>
      </c>
      <c r="C450" s="19">
        <v>0.9698</v>
      </c>
      <c r="D450" s="17">
        <v>30177.18</v>
      </c>
      <c r="E450" s="19">
        <v>0.9495</v>
      </c>
      <c r="F450" s="19">
        <v>0.1834</v>
      </c>
      <c r="G450" s="17">
        <v>3403670.03</v>
      </c>
      <c r="H450" s="17">
        <v>4114737.57</v>
      </c>
      <c r="I450" s="8" t="s">
        <v>125</v>
      </c>
    </row>
    <row r="451" ht="15" customHeight="1">
      <c r="A451" s="7">
        <v>449</v>
      </c>
      <c r="B451" s="18">
        <v>0.8073</v>
      </c>
      <c r="C451" s="18">
        <v>0.4594</v>
      </c>
      <c r="D451" s="16">
        <v>28004.85</v>
      </c>
      <c r="E451" s="18">
        <v>0.8967</v>
      </c>
      <c r="F451" s="18">
        <v>0.0796</v>
      </c>
      <c r="G451" s="16">
        <v>1181840.87</v>
      </c>
      <c r="H451" s="16">
        <v>1459235.45</v>
      </c>
      <c r="I451" s="7" t="s">
        <v>125</v>
      </c>
    </row>
    <row r="452" ht="15" customHeight="1">
      <c r="A452" s="8">
        <v>450</v>
      </c>
      <c r="B452" s="19">
        <v>0.553</v>
      </c>
      <c r="C452" s="19">
        <v>0.7476</v>
      </c>
      <c r="D452" s="17">
        <v>25174.77</v>
      </c>
      <c r="E452" s="19">
        <v>0.8874</v>
      </c>
      <c r="F452" s="19">
        <v>0.1041</v>
      </c>
      <c r="G452" s="17">
        <v>1603128.58</v>
      </c>
      <c r="H452" s="17">
        <v>1960168.81</v>
      </c>
      <c r="I452" s="8" t="s">
        <v>125</v>
      </c>
    </row>
    <row r="453" ht="15" customHeight="1">
      <c r="A453" s="7">
        <v>451</v>
      </c>
      <c r="B453" s="18">
        <v>0.7051</v>
      </c>
      <c r="C453" s="18">
        <v>0.9115</v>
      </c>
      <c r="D453" s="16">
        <v>25218.09</v>
      </c>
      <c r="E453" s="18">
        <v>0.7955</v>
      </c>
      <c r="F453" s="18">
        <v>0.0995</v>
      </c>
      <c r="G453" s="16">
        <v>2652609.97</v>
      </c>
      <c r="H453" s="16">
        <v>3196270.01</v>
      </c>
      <c r="I453" s="7" t="s">
        <v>125</v>
      </c>
    </row>
    <row r="454" ht="15" customHeight="1">
      <c r="A454" s="8">
        <v>452</v>
      </c>
      <c r="B454" s="19">
        <v>0.6618</v>
      </c>
      <c r="C454" s="19">
        <v>1.0034</v>
      </c>
      <c r="D454" s="17">
        <v>27282.73</v>
      </c>
      <c r="E454" s="19">
        <v>0.9196</v>
      </c>
      <c r="F454" s="19">
        <v>0.0943</v>
      </c>
      <c r="G454" s="17">
        <v>3291981.94</v>
      </c>
      <c r="H454" s="17">
        <v>3948550.22</v>
      </c>
      <c r="I454" s="8" t="s">
        <v>125</v>
      </c>
    </row>
    <row r="455" ht="15" customHeight="1">
      <c r="A455" s="7">
        <v>453</v>
      </c>
      <c r="B455" s="18">
        <v>0.6403</v>
      </c>
      <c r="C455" s="18">
        <v>0.9154</v>
      </c>
      <c r="D455" s="16">
        <v>27638.77</v>
      </c>
      <c r="E455" s="18">
        <v>0.8873</v>
      </c>
      <c r="F455" s="18">
        <v>0.1373</v>
      </c>
      <c r="G455" s="16">
        <v>2838069.16</v>
      </c>
      <c r="H455" s="16">
        <v>3428127.76</v>
      </c>
      <c r="I455" s="7" t="s">
        <v>125</v>
      </c>
    </row>
    <row r="456" ht="15" customHeight="1">
      <c r="A456" s="8">
        <v>454</v>
      </c>
      <c r="B456" s="19">
        <v>0.5117</v>
      </c>
      <c r="C456" s="19">
        <v>1.2615</v>
      </c>
      <c r="D456" s="17">
        <v>24514.99</v>
      </c>
      <c r="E456" s="19">
        <v>0.9297</v>
      </c>
      <c r="F456" s="19">
        <v>0.1739</v>
      </c>
      <c r="G456" s="17">
        <v>3780452.69</v>
      </c>
      <c r="H456" s="17">
        <v>4555123.85</v>
      </c>
      <c r="I456" s="8" t="s">
        <v>125</v>
      </c>
    </row>
    <row r="457" ht="15" customHeight="1">
      <c r="A457" s="7">
        <v>455</v>
      </c>
      <c r="B457" s="18">
        <v>0.6766</v>
      </c>
      <c r="C457" s="18">
        <v>0.9849</v>
      </c>
      <c r="D457" s="16">
        <v>27961.28</v>
      </c>
      <c r="E457" s="18">
        <v>0.9591</v>
      </c>
      <c r="F457" s="18">
        <v>0.1203</v>
      </c>
      <c r="G457" s="16">
        <v>3643884.16</v>
      </c>
      <c r="H457" s="16">
        <v>4373933.9</v>
      </c>
      <c r="I457" s="7" t="s">
        <v>125</v>
      </c>
    </row>
    <row r="458" ht="15" customHeight="1">
      <c r="A458" s="8">
        <v>456</v>
      </c>
      <c r="B458" s="19">
        <v>0.5496</v>
      </c>
      <c r="C458" s="19">
        <v>1.0648</v>
      </c>
      <c r="D458" s="17">
        <v>26483.09</v>
      </c>
      <c r="E458" s="19">
        <v>0.8176</v>
      </c>
      <c r="F458" s="19">
        <v>0.163</v>
      </c>
      <c r="G458" s="17">
        <v>2676091.79</v>
      </c>
      <c r="H458" s="17">
        <v>3244211.74</v>
      </c>
      <c r="I458" s="8" t="s">
        <v>125</v>
      </c>
    </row>
    <row r="459" ht="15" customHeight="1">
      <c r="A459" s="7">
        <v>457</v>
      </c>
      <c r="B459" s="18">
        <v>0.6027</v>
      </c>
      <c r="C459" s="18">
        <v>1.0645</v>
      </c>
      <c r="D459" s="16">
        <v>29028.43</v>
      </c>
      <c r="E459" s="18">
        <v>0.8939</v>
      </c>
      <c r="F459" s="18">
        <v>0.1197</v>
      </c>
      <c r="G459" s="16">
        <v>3108551.63</v>
      </c>
      <c r="H459" s="16">
        <v>3742057.46</v>
      </c>
      <c r="I459" s="7" t="s">
        <v>125</v>
      </c>
    </row>
    <row r="460" ht="15" customHeight="1">
      <c r="A460" s="8">
        <v>458</v>
      </c>
      <c r="B460" s="19">
        <v>0.623</v>
      </c>
      <c r="C460" s="19">
        <v>1.1705</v>
      </c>
      <c r="D460" s="17">
        <v>17189.78</v>
      </c>
      <c r="E460" s="19">
        <v>0.8354</v>
      </c>
      <c r="F460" s="19">
        <v>0.1046</v>
      </c>
      <c r="G460" s="17">
        <v>3653395.26</v>
      </c>
      <c r="H460" s="17">
        <v>4375805.17</v>
      </c>
      <c r="I460" s="8" t="s">
        <v>125</v>
      </c>
    </row>
    <row r="461" ht="15" customHeight="1">
      <c r="A461" s="7">
        <v>459</v>
      </c>
      <c r="B461" s="18">
        <v>0.6523</v>
      </c>
      <c r="C461" s="18">
        <v>0.967</v>
      </c>
      <c r="D461" s="16">
        <v>32638.36</v>
      </c>
      <c r="E461" s="18">
        <v>0.8659</v>
      </c>
      <c r="F461" s="18">
        <v>0.111</v>
      </c>
      <c r="G461" s="16">
        <v>2743742.91</v>
      </c>
      <c r="H461" s="16">
        <v>3309635.69</v>
      </c>
      <c r="I461" s="7" t="s">
        <v>125</v>
      </c>
    </row>
    <row r="462" ht="15" customHeight="1">
      <c r="A462" s="8">
        <v>460</v>
      </c>
      <c r="B462" s="19">
        <v>0.7848</v>
      </c>
      <c r="C462" s="19">
        <v>0.9929</v>
      </c>
      <c r="D462" s="17">
        <v>32680.38</v>
      </c>
      <c r="E462" s="19">
        <v>0.8941</v>
      </c>
      <c r="F462" s="19">
        <v>0.1154</v>
      </c>
      <c r="G462" s="17">
        <v>3902225.2</v>
      </c>
      <c r="H462" s="17">
        <v>4678313.22</v>
      </c>
      <c r="I462" s="8" t="s">
        <v>125</v>
      </c>
    </row>
    <row r="463" ht="15" customHeight="1">
      <c r="A463" s="7">
        <v>461</v>
      </c>
      <c r="B463" s="18">
        <v>0.4998</v>
      </c>
      <c r="C463" s="18">
        <v>1.1243</v>
      </c>
      <c r="D463" s="16">
        <v>24428.47</v>
      </c>
      <c r="E463" s="18">
        <v>0.8257</v>
      </c>
      <c r="F463" s="18">
        <v>0.0883</v>
      </c>
      <c r="G463" s="16">
        <v>2276360.51</v>
      </c>
      <c r="H463" s="16">
        <v>2749356.9</v>
      </c>
      <c r="I463" s="7" t="s">
        <v>125</v>
      </c>
    </row>
    <row r="464" ht="15" customHeight="1">
      <c r="A464" s="8">
        <v>462</v>
      </c>
      <c r="B464" s="19">
        <v>0.7687</v>
      </c>
      <c r="C464" s="19">
        <v>1.0345</v>
      </c>
      <c r="D464" s="17">
        <v>24397.36</v>
      </c>
      <c r="E464" s="19">
        <v>0.8903</v>
      </c>
      <c r="F464" s="19">
        <v>0.1093</v>
      </c>
      <c r="G464" s="17">
        <v>4199049.19</v>
      </c>
      <c r="H464" s="17">
        <v>5023359.09</v>
      </c>
      <c r="I464" s="8" t="s">
        <v>125</v>
      </c>
    </row>
    <row r="465" ht="15" customHeight="1">
      <c r="A465" s="7">
        <v>463</v>
      </c>
      <c r="B465" s="18">
        <v>0.6311</v>
      </c>
      <c r="C465" s="18">
        <v>1.0324</v>
      </c>
      <c r="D465" s="16">
        <v>27442.77</v>
      </c>
      <c r="E465" s="18">
        <v>0.8874</v>
      </c>
      <c r="F465" s="18">
        <v>0.1133</v>
      </c>
      <c r="G465" s="16">
        <v>3156541.17</v>
      </c>
      <c r="H465" s="16">
        <v>3795898.36</v>
      </c>
      <c r="I465" s="7" t="s">
        <v>125</v>
      </c>
    </row>
    <row r="466" ht="15" customHeight="1">
      <c r="A466" s="8">
        <v>464</v>
      </c>
      <c r="B466" s="19">
        <v>0.4599</v>
      </c>
      <c r="C466" s="19">
        <v>1.1373</v>
      </c>
      <c r="D466" s="17">
        <v>23330.97</v>
      </c>
      <c r="E466" s="19">
        <v>0.9291</v>
      </c>
      <c r="F466" s="19">
        <v>0.0738</v>
      </c>
      <c r="G466" s="17">
        <v>2402900.41</v>
      </c>
      <c r="H466" s="17">
        <v>2893844.76</v>
      </c>
      <c r="I466" s="8" t="s">
        <v>125</v>
      </c>
    </row>
    <row r="467" ht="15" customHeight="1">
      <c r="A467" s="7">
        <v>465</v>
      </c>
      <c r="B467" s="18">
        <v>0.3533</v>
      </c>
      <c r="C467" s="18">
        <v>1.1228</v>
      </c>
      <c r="D467" s="16">
        <v>27234.33</v>
      </c>
      <c r="E467" s="18">
        <v>0.8296</v>
      </c>
      <c r="F467" s="18">
        <v>0.1004</v>
      </c>
      <c r="G467" s="16">
        <v>1246572.03</v>
      </c>
      <c r="H467" s="16">
        <v>1539552.91</v>
      </c>
      <c r="I467" s="7" t="s">
        <v>125</v>
      </c>
    </row>
    <row r="468" ht="15" customHeight="1">
      <c r="A468" s="8">
        <v>466</v>
      </c>
      <c r="B468" s="19">
        <v>0.6732</v>
      </c>
      <c r="C468" s="19">
        <v>0.9854</v>
      </c>
      <c r="D468" s="17">
        <v>30466.04</v>
      </c>
      <c r="E468" s="19">
        <v>0.8693</v>
      </c>
      <c r="F468" s="19">
        <v>0.0376</v>
      </c>
      <c r="G468" s="17">
        <v>2635505.29</v>
      </c>
      <c r="H468" s="17">
        <v>3156586.14</v>
      </c>
      <c r="I468" s="8" t="s">
        <v>125</v>
      </c>
    </row>
    <row r="469" ht="15" customHeight="1">
      <c r="A469" s="7">
        <v>467</v>
      </c>
      <c r="B469" s="18">
        <v>0.6962</v>
      </c>
      <c r="C469" s="18">
        <v>0.9136</v>
      </c>
      <c r="D469" s="16">
        <v>26242.79</v>
      </c>
      <c r="E469" s="18">
        <v>0.8936</v>
      </c>
      <c r="F469" s="18">
        <v>0.0906</v>
      </c>
      <c r="G469" s="16">
        <v>2993581.82</v>
      </c>
      <c r="H469" s="16">
        <v>3595372.33</v>
      </c>
      <c r="I469" s="7" t="s">
        <v>125</v>
      </c>
    </row>
    <row r="470" ht="15" customHeight="1">
      <c r="A470" s="8">
        <v>468</v>
      </c>
      <c r="B470" s="19">
        <v>0.6203</v>
      </c>
      <c r="C470" s="19">
        <v>1.4568</v>
      </c>
      <c r="D470" s="17">
        <v>23099.2</v>
      </c>
      <c r="E470" s="19">
        <v>0.8139</v>
      </c>
      <c r="F470" s="19">
        <v>0.071</v>
      </c>
      <c r="G470" s="17">
        <v>4172491.29</v>
      </c>
      <c r="H470" s="17">
        <v>4974694.25</v>
      </c>
      <c r="I470" s="8" t="s">
        <v>125</v>
      </c>
    </row>
    <row r="471" ht="15" customHeight="1">
      <c r="A471" s="7">
        <v>469</v>
      </c>
      <c r="B471" s="18">
        <v>0.5302</v>
      </c>
      <c r="C471" s="18">
        <v>0.9761</v>
      </c>
      <c r="D471" s="16">
        <v>27591.98</v>
      </c>
      <c r="E471" s="18">
        <v>0.8876</v>
      </c>
      <c r="F471" s="18">
        <v>0.0691</v>
      </c>
      <c r="G471" s="16">
        <v>2061218.37</v>
      </c>
      <c r="H471" s="16">
        <v>2491358.5</v>
      </c>
      <c r="I471" s="7" t="s">
        <v>125</v>
      </c>
    </row>
    <row r="472" ht="15" customHeight="1">
      <c r="A472" s="8">
        <v>470</v>
      </c>
      <c r="B472" s="19">
        <v>0.7105</v>
      </c>
      <c r="C472" s="19">
        <v>0.8146</v>
      </c>
      <c r="D472" s="17">
        <v>25735.82</v>
      </c>
      <c r="E472" s="19">
        <v>0.8429</v>
      </c>
      <c r="F472" s="19">
        <v>0.0719</v>
      </c>
      <c r="G472" s="17">
        <v>2333847.45</v>
      </c>
      <c r="H472" s="17">
        <v>2812508.1</v>
      </c>
      <c r="I472" s="8" t="s">
        <v>125</v>
      </c>
    </row>
    <row r="473" ht="15" customHeight="1">
      <c r="A473" s="7">
        <v>471</v>
      </c>
      <c r="B473" s="18">
        <v>0.7983</v>
      </c>
      <c r="C473" s="18">
        <v>1.439</v>
      </c>
      <c r="D473" s="16">
        <v>25682.75</v>
      </c>
      <c r="E473" s="18">
        <v>0.8534</v>
      </c>
      <c r="F473" s="18">
        <v>0.1451</v>
      </c>
      <c r="G473" s="16">
        <v>6548445.25</v>
      </c>
      <c r="H473" s="16">
        <v>7817710.84</v>
      </c>
      <c r="I473" s="7" t="s">
        <v>125</v>
      </c>
    </row>
    <row r="474" ht="15" customHeight="1">
      <c r="A474" s="8">
        <v>472</v>
      </c>
      <c r="B474" s="19">
        <v>0.79</v>
      </c>
      <c r="C474" s="19">
        <v>0.7542</v>
      </c>
      <c r="D474" s="17">
        <v>40639.84</v>
      </c>
      <c r="E474" s="19">
        <v>0.8049</v>
      </c>
      <c r="F474" s="19">
        <v>0.1144</v>
      </c>
      <c r="G474" s="17">
        <v>2012966.32</v>
      </c>
      <c r="H474" s="17">
        <v>2450869.16</v>
      </c>
      <c r="I474" s="8" t="s">
        <v>125</v>
      </c>
    </row>
    <row r="475" ht="15" customHeight="1">
      <c r="A475" s="7">
        <v>473</v>
      </c>
      <c r="B475" s="18">
        <v>0.6121</v>
      </c>
      <c r="C475" s="18">
        <v>0.8651</v>
      </c>
      <c r="D475" s="16">
        <v>26432.99</v>
      </c>
      <c r="E475" s="18">
        <v>0.9653</v>
      </c>
      <c r="F475" s="18">
        <v>0.0942</v>
      </c>
      <c r="G475" s="16">
        <v>2587714.13</v>
      </c>
      <c r="H475" s="16">
        <v>3118440.03</v>
      </c>
      <c r="I475" s="7" t="s">
        <v>125</v>
      </c>
    </row>
    <row r="476" ht="15" customHeight="1">
      <c r="A476" s="8">
        <v>474</v>
      </c>
      <c r="B476" s="19">
        <v>0.6145</v>
      </c>
      <c r="C476" s="19">
        <v>1.0285</v>
      </c>
      <c r="D476" s="17">
        <v>27478.21</v>
      </c>
      <c r="E476" s="19">
        <v>0.9295</v>
      </c>
      <c r="F476" s="19">
        <v>0.0705</v>
      </c>
      <c r="G476" s="17">
        <v>2981125.43</v>
      </c>
      <c r="H476" s="17">
        <v>3573833.5</v>
      </c>
      <c r="I476" s="8" t="s">
        <v>125</v>
      </c>
    </row>
    <row r="477" ht="15" customHeight="1">
      <c r="A477" s="7">
        <v>475</v>
      </c>
      <c r="B477" s="18">
        <v>0.6683</v>
      </c>
      <c r="C477" s="18">
        <v>1.2463</v>
      </c>
      <c r="D477" s="16">
        <v>19141.11</v>
      </c>
      <c r="E477" s="18">
        <v>0.8949</v>
      </c>
      <c r="F477" s="18">
        <v>0.1381</v>
      </c>
      <c r="G477" s="16">
        <v>4854183.56</v>
      </c>
      <c r="H477" s="16">
        <v>5808330.03</v>
      </c>
      <c r="I477" s="7" t="s">
        <v>125</v>
      </c>
    </row>
    <row r="478" ht="15" customHeight="1">
      <c r="A478" s="8">
        <v>476</v>
      </c>
      <c r="B478" s="19">
        <v>0.8112</v>
      </c>
      <c r="C478" s="19">
        <v>0.9556</v>
      </c>
      <c r="D478" s="17">
        <v>26781.43</v>
      </c>
      <c r="E478" s="19">
        <v>0.8449</v>
      </c>
      <c r="F478" s="19">
        <v>0.1476</v>
      </c>
      <c r="G478" s="17">
        <v>3980481.86</v>
      </c>
      <c r="H478" s="17">
        <v>4782384.52</v>
      </c>
      <c r="I478" s="8" t="s">
        <v>125</v>
      </c>
    </row>
    <row r="479" ht="15" customHeight="1">
      <c r="A479" s="7">
        <v>477</v>
      </c>
      <c r="B479" s="18">
        <v>0.5655</v>
      </c>
      <c r="C479" s="18">
        <v>0.873</v>
      </c>
      <c r="D479" s="16">
        <v>27845.4</v>
      </c>
      <c r="E479" s="18">
        <v>0.8823</v>
      </c>
      <c r="F479" s="18">
        <v>0.1034</v>
      </c>
      <c r="G479" s="16">
        <v>2028484.57</v>
      </c>
      <c r="H479" s="16">
        <v>2462315.1</v>
      </c>
      <c r="I479" s="7" t="s">
        <v>125</v>
      </c>
    </row>
    <row r="480" ht="15" customHeight="1">
      <c r="A480" s="8">
        <v>478</v>
      </c>
      <c r="B480" s="19">
        <v>0.7782</v>
      </c>
      <c r="C480" s="19">
        <v>0.8473</v>
      </c>
      <c r="D480" s="17">
        <v>27832.8</v>
      </c>
      <c r="E480" s="19">
        <v>0.9444</v>
      </c>
      <c r="F480" s="19">
        <v>0.09</v>
      </c>
      <c r="G480" s="17">
        <v>3337705.11</v>
      </c>
      <c r="H480" s="17">
        <v>4000922.19</v>
      </c>
      <c r="I480" s="8" t="s">
        <v>125</v>
      </c>
    </row>
    <row r="481" ht="15" customHeight="1">
      <c r="A481" s="7">
        <v>479</v>
      </c>
      <c r="B481" s="18">
        <v>0.5149</v>
      </c>
      <c r="C481" s="18">
        <v>0.8084</v>
      </c>
      <c r="D481" s="16">
        <v>32516.91</v>
      </c>
      <c r="E481" s="18">
        <v>0.8622</v>
      </c>
      <c r="F481" s="18">
        <v>0.0278</v>
      </c>
      <c r="G481" s="16">
        <v>1058481.2</v>
      </c>
      <c r="H481" s="16">
        <v>1304103.71</v>
      </c>
      <c r="I481" s="7" t="s">
        <v>125</v>
      </c>
    </row>
    <row r="482" ht="15" customHeight="1">
      <c r="A482" s="8">
        <v>480</v>
      </c>
      <c r="B482" s="19">
        <v>0.4237</v>
      </c>
      <c r="C482" s="19">
        <v>0.9217</v>
      </c>
      <c r="D482" s="17">
        <v>26200.09</v>
      </c>
      <c r="E482" s="19">
        <v>0.9006</v>
      </c>
      <c r="F482" s="19">
        <v>0.158</v>
      </c>
      <c r="G482" s="17">
        <v>1648539.33</v>
      </c>
      <c r="H482" s="17">
        <v>2026352.05</v>
      </c>
      <c r="I482" s="8" t="s">
        <v>125</v>
      </c>
    </row>
    <row r="483" ht="15" customHeight="1">
      <c r="A483" s="7">
        <v>481</v>
      </c>
      <c r="B483" s="18">
        <v>0.5473</v>
      </c>
      <c r="C483" s="18">
        <v>1.0033</v>
      </c>
      <c r="D483" s="16">
        <v>28141.72</v>
      </c>
      <c r="E483" s="18">
        <v>0.8827</v>
      </c>
      <c r="F483" s="18">
        <v>0.1323</v>
      </c>
      <c r="G483" s="16">
        <v>2522769.2</v>
      </c>
      <c r="H483" s="16">
        <v>3054131.51</v>
      </c>
      <c r="I483" s="7" t="s">
        <v>125</v>
      </c>
    </row>
    <row r="484" ht="15" customHeight="1">
      <c r="A484" s="8">
        <v>482</v>
      </c>
      <c r="B484" s="19">
        <v>0.5336</v>
      </c>
      <c r="C484" s="19">
        <v>0.9697</v>
      </c>
      <c r="D484" s="17">
        <v>29771.06</v>
      </c>
      <c r="E484" s="19">
        <v>0.8569</v>
      </c>
      <c r="F484" s="19">
        <v>0.0869</v>
      </c>
      <c r="G484" s="17">
        <v>1956473.3</v>
      </c>
      <c r="H484" s="17">
        <v>2373456.31</v>
      </c>
      <c r="I484" s="8" t="s">
        <v>125</v>
      </c>
    </row>
    <row r="485" ht="15" customHeight="1">
      <c r="A485" s="7">
        <v>483</v>
      </c>
      <c r="B485" s="18">
        <v>0.7134</v>
      </c>
      <c r="C485" s="18">
        <v>0.9921</v>
      </c>
      <c r="D485" s="16">
        <v>23742.34</v>
      </c>
      <c r="E485" s="18">
        <v>0.8899</v>
      </c>
      <c r="F485" s="18">
        <v>0.0036</v>
      </c>
      <c r="G485" s="16">
        <v>3008966.49</v>
      </c>
      <c r="H485" s="16">
        <v>3581639.34</v>
      </c>
      <c r="I485" s="7" t="s">
        <v>125</v>
      </c>
    </row>
    <row r="486" ht="15" customHeight="1">
      <c r="A486" s="8">
        <v>484</v>
      </c>
      <c r="B486" s="19">
        <v>0.7675</v>
      </c>
      <c r="C486" s="19">
        <v>1.0651</v>
      </c>
      <c r="D486" s="17">
        <v>24451.66</v>
      </c>
      <c r="E486" s="19">
        <v>0.9478</v>
      </c>
      <c r="F486" s="19">
        <v>0.1164</v>
      </c>
      <c r="G486" s="17">
        <v>4751543.29</v>
      </c>
      <c r="H486" s="17">
        <v>5678538.98</v>
      </c>
      <c r="I486" s="8" t="s">
        <v>125</v>
      </c>
    </row>
    <row r="487" ht="15" customHeight="1">
      <c r="A487" s="7">
        <v>485</v>
      </c>
      <c r="B487" s="18">
        <v>0.6093</v>
      </c>
      <c r="C487" s="18">
        <v>1.1552</v>
      </c>
      <c r="D487" s="16">
        <v>29675.43</v>
      </c>
      <c r="E487" s="18">
        <v>0.9305</v>
      </c>
      <c r="F487" s="18">
        <v>0.0508</v>
      </c>
      <c r="G487" s="16">
        <v>3272194.18</v>
      </c>
      <c r="H487" s="16">
        <v>3908904.49</v>
      </c>
      <c r="I487" s="7" t="s">
        <v>125</v>
      </c>
    </row>
    <row r="488" ht="15" customHeight="1">
      <c r="A488" s="8">
        <v>486</v>
      </c>
      <c r="B488" s="19">
        <v>0.3648</v>
      </c>
      <c r="C488" s="19">
        <v>1.333</v>
      </c>
      <c r="D488" s="17">
        <v>30319.04</v>
      </c>
      <c r="E488" s="19">
        <v>0.8574</v>
      </c>
      <c r="F488" s="19">
        <v>0.0608</v>
      </c>
      <c r="G488" s="17">
        <v>1643164.41</v>
      </c>
      <c r="H488" s="17">
        <v>1998042.22</v>
      </c>
      <c r="I488" s="8" t="s">
        <v>125</v>
      </c>
    </row>
    <row r="489" ht="15" customHeight="1">
      <c r="A489" s="7">
        <v>487</v>
      </c>
      <c r="B489" s="18">
        <v>0.6318</v>
      </c>
      <c r="C489" s="18">
        <v>0.7827</v>
      </c>
      <c r="D489" s="16">
        <v>27241.36</v>
      </c>
      <c r="E489" s="18">
        <v>0.8814</v>
      </c>
      <c r="F489" s="18">
        <v>0.0305</v>
      </c>
      <c r="G489" s="16">
        <v>1748112.96</v>
      </c>
      <c r="H489" s="16">
        <v>2113058.36</v>
      </c>
      <c r="I489" s="7" t="s">
        <v>125</v>
      </c>
    </row>
    <row r="490" ht="15" customHeight="1">
      <c r="A490" s="8">
        <v>488</v>
      </c>
      <c r="B490" s="19">
        <v>0.7198</v>
      </c>
      <c r="C490" s="19">
        <v>1.3459</v>
      </c>
      <c r="D490" s="17">
        <v>32679.67</v>
      </c>
      <c r="E490" s="19">
        <v>0.9766</v>
      </c>
      <c r="F490" s="19">
        <v>0.0518</v>
      </c>
      <c r="G490" s="17">
        <v>5205165.27</v>
      </c>
      <c r="H490" s="17">
        <v>6180430.8</v>
      </c>
      <c r="I490" s="8" t="s">
        <v>125</v>
      </c>
    </row>
    <row r="491" ht="15" customHeight="1">
      <c r="A491" s="7">
        <v>489</v>
      </c>
      <c r="B491" s="18">
        <v>0.4748</v>
      </c>
      <c r="C491" s="18">
        <v>0.7885</v>
      </c>
      <c r="D491" s="16">
        <v>29861.29</v>
      </c>
      <c r="E491" s="18">
        <v>0.7878</v>
      </c>
      <c r="F491" s="18">
        <v>0.0339</v>
      </c>
      <c r="G491" s="16">
        <v>727439.06</v>
      </c>
      <c r="H491" s="16">
        <v>916797.33</v>
      </c>
      <c r="I491" s="7" t="s">
        <v>125</v>
      </c>
    </row>
    <row r="492" ht="15" customHeight="1">
      <c r="A492" s="8">
        <v>490</v>
      </c>
      <c r="B492" s="19">
        <v>0.7044</v>
      </c>
      <c r="C492" s="19">
        <v>0.8067</v>
      </c>
      <c r="D492" s="17">
        <v>34012.24</v>
      </c>
      <c r="E492" s="19">
        <v>0.8145</v>
      </c>
      <c r="F492" s="19">
        <v>0.0072</v>
      </c>
      <c r="G492" s="17">
        <v>1623541.57</v>
      </c>
      <c r="H492" s="17">
        <v>1961202.31</v>
      </c>
      <c r="I492" s="8" t="s">
        <v>125</v>
      </c>
    </row>
    <row r="493" ht="15" customHeight="1">
      <c r="A493" s="7">
        <v>491</v>
      </c>
      <c r="B493" s="18">
        <v>0.4771</v>
      </c>
      <c r="C493" s="18">
        <v>0.8039</v>
      </c>
      <c r="D493" s="16">
        <v>19771.59</v>
      </c>
      <c r="E493" s="18">
        <v>0.8919</v>
      </c>
      <c r="F493" s="18">
        <v>0.0972</v>
      </c>
      <c r="G493" s="16">
        <v>1562033.38</v>
      </c>
      <c r="H493" s="16">
        <v>1908745.78</v>
      </c>
      <c r="I493" s="7" t="s">
        <v>125</v>
      </c>
    </row>
    <row r="494" ht="15" customHeight="1">
      <c r="A494" s="8">
        <v>492</v>
      </c>
      <c r="B494" s="19">
        <v>0.7838</v>
      </c>
      <c r="C494" s="19">
        <v>1.2411</v>
      </c>
      <c r="D494" s="17">
        <v>35098.46</v>
      </c>
      <c r="E494" s="19">
        <v>0.8422</v>
      </c>
      <c r="F494" s="19">
        <v>0.1184</v>
      </c>
      <c r="G494" s="17">
        <v>4776523.55</v>
      </c>
      <c r="H494" s="17">
        <v>5712377.68</v>
      </c>
      <c r="I494" s="8" t="s">
        <v>125</v>
      </c>
    </row>
    <row r="495" ht="15" customHeight="1">
      <c r="A495" s="7">
        <v>493</v>
      </c>
      <c r="B495" s="18">
        <v>0.625</v>
      </c>
      <c r="C495" s="18">
        <v>1.1959</v>
      </c>
      <c r="D495" s="16">
        <v>31891.33</v>
      </c>
      <c r="E495" s="18">
        <v>0.9567</v>
      </c>
      <c r="F495" s="18">
        <v>0.098</v>
      </c>
      <c r="G495" s="16">
        <v>3942312.18</v>
      </c>
      <c r="H495" s="16">
        <v>4717714.46</v>
      </c>
      <c r="I495" s="7" t="s">
        <v>125</v>
      </c>
    </row>
    <row r="496" ht="15" customHeight="1">
      <c r="A496" s="8">
        <v>494</v>
      </c>
      <c r="B496" s="19">
        <v>0.4921</v>
      </c>
      <c r="C496" s="19">
        <v>1.0716</v>
      </c>
      <c r="D496" s="17">
        <v>24107.7</v>
      </c>
      <c r="E496" s="19">
        <v>0.8881</v>
      </c>
      <c r="F496" s="19">
        <v>0.1259</v>
      </c>
      <c r="G496" s="17">
        <v>2490733.57</v>
      </c>
      <c r="H496" s="17">
        <v>3012990.2</v>
      </c>
      <c r="I496" s="8" t="s">
        <v>125</v>
      </c>
    </row>
    <row r="497" ht="15" customHeight="1">
      <c r="A497" s="7">
        <v>495</v>
      </c>
      <c r="B497" s="18">
        <v>0.4999</v>
      </c>
      <c r="C497" s="18">
        <v>0.7174</v>
      </c>
      <c r="D497" s="16">
        <v>30637.49</v>
      </c>
      <c r="E497" s="18">
        <v>0.8492</v>
      </c>
      <c r="F497" s="18">
        <v>0.0492</v>
      </c>
      <c r="G497" s="16">
        <v>811427.39</v>
      </c>
      <c r="H497" s="16">
        <v>1018239.52</v>
      </c>
      <c r="I497" s="7" t="s">
        <v>125</v>
      </c>
    </row>
    <row r="498" ht="15" customHeight="1">
      <c r="A498" s="8">
        <v>496</v>
      </c>
      <c r="B498" s="19">
        <v>0.5467</v>
      </c>
      <c r="C498" s="19">
        <v>0.8986</v>
      </c>
      <c r="D498" s="17">
        <v>23860.13</v>
      </c>
      <c r="E498" s="19">
        <v>0.8971</v>
      </c>
      <c r="F498" s="19">
        <v>0.1446</v>
      </c>
      <c r="G498" s="17">
        <v>2370421.86</v>
      </c>
      <c r="H498" s="17">
        <v>2876078.39</v>
      </c>
      <c r="I498" s="8" t="s">
        <v>125</v>
      </c>
    </row>
    <row r="499" ht="15" customHeight="1">
      <c r="A499" s="7">
        <v>497</v>
      </c>
      <c r="B499" s="18">
        <v>0.5527</v>
      </c>
      <c r="C499" s="18">
        <v>0.9167</v>
      </c>
      <c r="D499" s="16">
        <v>32209.89</v>
      </c>
      <c r="E499" s="18">
        <v>0.9685</v>
      </c>
      <c r="F499" s="18">
        <v>0.1414</v>
      </c>
      <c r="G499" s="16">
        <v>2489080</v>
      </c>
      <c r="H499" s="16">
        <v>3018607.96</v>
      </c>
      <c r="I499" s="7" t="s">
        <v>125</v>
      </c>
    </row>
    <row r="500" ht="15" customHeight="1">
      <c r="A500" s="8">
        <v>498</v>
      </c>
      <c r="B500" s="19">
        <v>0.3944</v>
      </c>
      <c r="C500" s="19">
        <v>1.0524</v>
      </c>
      <c r="D500" s="17">
        <v>17934.72</v>
      </c>
      <c r="E500" s="19">
        <v>0.8827</v>
      </c>
      <c r="F500" s="19">
        <v>0.1151</v>
      </c>
      <c r="G500" s="17">
        <v>1861999.73</v>
      </c>
      <c r="H500" s="17">
        <v>2265936.63</v>
      </c>
      <c r="I500" s="8" t="s">
        <v>125</v>
      </c>
    </row>
    <row r="501" ht="15" customHeight="1">
      <c r="A501" s="7">
        <v>499</v>
      </c>
      <c r="B501" s="18">
        <v>0.6693</v>
      </c>
      <c r="C501" s="18">
        <v>1.1717</v>
      </c>
      <c r="D501" s="16">
        <v>23011.8</v>
      </c>
      <c r="E501" s="18">
        <v>0.9152</v>
      </c>
      <c r="F501" s="18">
        <v>0.0417</v>
      </c>
      <c r="G501" s="16">
        <v>3850727.33</v>
      </c>
      <c r="H501" s="16">
        <v>4583596.91</v>
      </c>
      <c r="I501" s="7" t="s">
        <v>125</v>
      </c>
    </row>
    <row r="502" ht="15" customHeight="1">
      <c r="A502" s="8">
        <v>500</v>
      </c>
      <c r="B502" s="19">
        <v>0.5585</v>
      </c>
      <c r="C502" s="19">
        <v>1.0351</v>
      </c>
      <c r="D502" s="17">
        <v>23622.01</v>
      </c>
      <c r="E502" s="19">
        <v>0.8098</v>
      </c>
      <c r="F502" s="19">
        <v>0.0924</v>
      </c>
      <c r="G502" s="17">
        <v>2350075.98</v>
      </c>
      <c r="H502" s="17">
        <v>2837162.99</v>
      </c>
      <c r="I502" s="8" t="s">
        <v>125</v>
      </c>
    </row>
    <row r="503" ht="15" customHeight="1">
      <c r="A503" s="7">
        <v>501</v>
      </c>
      <c r="B503" s="18">
        <v>0.6133</v>
      </c>
      <c r="C503" s="18">
        <v>1.1617</v>
      </c>
      <c r="D503" s="16">
        <v>31358.57</v>
      </c>
      <c r="E503" s="18">
        <v>0.9201</v>
      </c>
      <c r="F503" s="18">
        <v>0.0329</v>
      </c>
      <c r="G503" s="16">
        <v>3115950.12</v>
      </c>
      <c r="H503" s="16">
        <v>3718606.17</v>
      </c>
      <c r="I503" s="7" t="s">
        <v>125</v>
      </c>
    </row>
    <row r="504" ht="15" customHeight="1">
      <c r="A504" s="8">
        <v>502</v>
      </c>
      <c r="B504" s="19">
        <v>0.4401</v>
      </c>
      <c r="C504" s="19">
        <v>0.8946</v>
      </c>
      <c r="D504" s="17">
        <v>22505.91</v>
      </c>
      <c r="E504" s="19">
        <v>0.9306</v>
      </c>
      <c r="F504" s="19">
        <v>0.1078</v>
      </c>
      <c r="G504" s="17">
        <v>1694522.72</v>
      </c>
      <c r="H504" s="17">
        <v>2068032.21</v>
      </c>
      <c r="I504" s="8" t="s">
        <v>125</v>
      </c>
    </row>
    <row r="505" ht="15" customHeight="1">
      <c r="A505" s="7">
        <v>503</v>
      </c>
      <c r="B505" s="18">
        <v>0.5052</v>
      </c>
      <c r="C505" s="18">
        <v>0.9125</v>
      </c>
      <c r="D505" s="16">
        <v>24314.26</v>
      </c>
      <c r="E505" s="18">
        <v>0.9066</v>
      </c>
      <c r="F505" s="18">
        <v>0.0927</v>
      </c>
      <c r="G505" s="16">
        <v>1962807</v>
      </c>
      <c r="H505" s="16">
        <v>2381128.07</v>
      </c>
      <c r="I505" s="7" t="s">
        <v>125</v>
      </c>
    </row>
    <row r="506" ht="15" customHeight="1">
      <c r="A506" s="8">
        <v>504</v>
      </c>
      <c r="B506" s="19">
        <v>0.7133</v>
      </c>
      <c r="C506" s="19">
        <v>0.5356</v>
      </c>
      <c r="D506" s="17">
        <v>33968.16</v>
      </c>
      <c r="E506" s="19">
        <v>0.8498</v>
      </c>
      <c r="F506" s="19">
        <v>0.0912</v>
      </c>
      <c r="G506" s="17">
        <v>977581.7</v>
      </c>
      <c r="H506" s="17">
        <v>1222420.8</v>
      </c>
      <c r="I506" s="8" t="s">
        <v>125</v>
      </c>
    </row>
    <row r="507" ht="15" customHeight="1">
      <c r="A507" s="7">
        <v>505</v>
      </c>
      <c r="B507" s="18">
        <v>0.5449</v>
      </c>
      <c r="C507" s="18">
        <v>1.2294</v>
      </c>
      <c r="D507" s="16">
        <v>18863.6</v>
      </c>
      <c r="E507" s="18">
        <v>0.938</v>
      </c>
      <c r="F507" s="18">
        <v>0.0901</v>
      </c>
      <c r="G507" s="16">
        <v>3655791.44</v>
      </c>
      <c r="H507" s="16">
        <v>4373489.57</v>
      </c>
      <c r="I507" s="7" t="s">
        <v>125</v>
      </c>
    </row>
    <row r="508" ht="15" customHeight="1">
      <c r="A508" s="8">
        <v>506</v>
      </c>
      <c r="B508" s="19">
        <v>0.6471</v>
      </c>
      <c r="C508" s="19">
        <v>0.771</v>
      </c>
      <c r="D508" s="17">
        <v>29484.34</v>
      </c>
      <c r="E508" s="19">
        <v>0.9296</v>
      </c>
      <c r="F508" s="19">
        <v>0.1547</v>
      </c>
      <c r="G508" s="17">
        <v>2426025.28</v>
      </c>
      <c r="H508" s="17">
        <v>2946982.33</v>
      </c>
      <c r="I508" s="8" t="s">
        <v>125</v>
      </c>
    </row>
    <row r="509" ht="15" customHeight="1">
      <c r="A509" s="7">
        <v>507</v>
      </c>
      <c r="B509" s="18">
        <v>0.3509</v>
      </c>
      <c r="C509" s="18">
        <v>1.2538</v>
      </c>
      <c r="D509" s="16">
        <v>15269.27</v>
      </c>
      <c r="E509" s="18">
        <v>0.9006</v>
      </c>
      <c r="F509" s="18">
        <v>0.069</v>
      </c>
      <c r="G509" s="16">
        <v>1991811.68</v>
      </c>
      <c r="H509" s="16">
        <v>2407348.14</v>
      </c>
      <c r="I509" s="7" t="s">
        <v>125</v>
      </c>
    </row>
    <row r="510" ht="15" customHeight="1">
      <c r="A510" s="8">
        <v>508</v>
      </c>
      <c r="B510" s="19">
        <v>0.6034</v>
      </c>
      <c r="C510" s="19">
        <v>0.8748</v>
      </c>
      <c r="D510" s="17">
        <v>31001.95</v>
      </c>
      <c r="E510" s="19">
        <v>0.9409</v>
      </c>
      <c r="F510" s="19">
        <v>0.0668</v>
      </c>
      <c r="G510" s="17">
        <v>2210328.57</v>
      </c>
      <c r="H510" s="17">
        <v>2666690.21</v>
      </c>
      <c r="I510" s="8" t="s">
        <v>125</v>
      </c>
    </row>
    <row r="511" ht="15" customHeight="1">
      <c r="A511" s="7">
        <v>509</v>
      </c>
      <c r="B511" s="18">
        <v>0.4964</v>
      </c>
      <c r="C511" s="18">
        <v>0.8686</v>
      </c>
      <c r="D511" s="16">
        <v>27695.53</v>
      </c>
      <c r="E511" s="18">
        <v>0.9122</v>
      </c>
      <c r="F511" s="18">
        <v>0.0774</v>
      </c>
      <c r="G511" s="16">
        <v>1620534.99</v>
      </c>
      <c r="H511" s="16">
        <v>1975030.91</v>
      </c>
      <c r="I511" s="7" t="s">
        <v>125</v>
      </c>
    </row>
    <row r="512" ht="15" customHeight="1">
      <c r="A512" s="8">
        <v>510</v>
      </c>
      <c r="B512" s="19">
        <v>0.4762</v>
      </c>
      <c r="C512" s="19">
        <v>0.8805</v>
      </c>
      <c r="D512" s="17">
        <v>33086.87</v>
      </c>
      <c r="E512" s="19">
        <v>0.9003</v>
      </c>
      <c r="F512" s="19">
        <v>0.13</v>
      </c>
      <c r="G512" s="17">
        <v>1535425.92</v>
      </c>
      <c r="H512" s="17">
        <v>1888759.6</v>
      </c>
      <c r="I512" s="8" t="s">
        <v>125</v>
      </c>
    </row>
    <row r="513" ht="15" customHeight="1">
      <c r="A513" s="7">
        <v>511</v>
      </c>
      <c r="B513" s="18">
        <v>0.6586</v>
      </c>
      <c r="C513" s="18">
        <v>0.9751</v>
      </c>
      <c r="D513" s="16">
        <v>22561.69</v>
      </c>
      <c r="E513" s="18">
        <v>0.8631</v>
      </c>
      <c r="F513" s="18">
        <v>0.0727</v>
      </c>
      <c r="G513" s="16">
        <v>2908564.71</v>
      </c>
      <c r="H513" s="16">
        <v>3488279.38</v>
      </c>
      <c r="I513" s="7" t="s">
        <v>125</v>
      </c>
    </row>
    <row r="514" ht="15" customHeight="1">
      <c r="A514" s="8">
        <v>512</v>
      </c>
      <c r="B514" s="19">
        <v>0.67</v>
      </c>
      <c r="C514" s="19">
        <v>0.9618</v>
      </c>
      <c r="D514" s="17">
        <v>21162.25</v>
      </c>
      <c r="E514" s="19">
        <v>0.8485</v>
      </c>
      <c r="F514" s="19">
        <v>0.0959</v>
      </c>
      <c r="G514" s="17">
        <v>3019787.31</v>
      </c>
      <c r="H514" s="17">
        <v>3626784.82</v>
      </c>
      <c r="I514" s="8" t="s">
        <v>125</v>
      </c>
    </row>
    <row r="515" ht="15" customHeight="1">
      <c r="A515" s="7">
        <v>513</v>
      </c>
      <c r="B515" s="18">
        <v>0.4978</v>
      </c>
      <c r="C515" s="18">
        <v>0.9839</v>
      </c>
      <c r="D515" s="16">
        <v>34083.34</v>
      </c>
      <c r="E515" s="18">
        <v>0.8802</v>
      </c>
      <c r="F515" s="18">
        <v>0.1074</v>
      </c>
      <c r="G515" s="16">
        <v>1820359.48</v>
      </c>
      <c r="H515" s="16">
        <v>2219707.42</v>
      </c>
      <c r="I515" s="7" t="s">
        <v>125</v>
      </c>
    </row>
    <row r="516" ht="15" customHeight="1">
      <c r="A516" s="8">
        <v>514</v>
      </c>
      <c r="B516" s="19">
        <v>0.4249</v>
      </c>
      <c r="C516" s="19">
        <v>1.1186</v>
      </c>
      <c r="D516" s="17">
        <v>30537.1</v>
      </c>
      <c r="E516" s="19">
        <v>0.8688</v>
      </c>
      <c r="F516" s="19">
        <v>0.1156</v>
      </c>
      <c r="G516" s="17">
        <v>1826960.73</v>
      </c>
      <c r="H516" s="17">
        <v>2228597.01</v>
      </c>
      <c r="I516" s="8" t="s">
        <v>125</v>
      </c>
    </row>
    <row r="517" ht="15" customHeight="1">
      <c r="A517" s="7">
        <v>515</v>
      </c>
      <c r="B517" s="18">
        <v>0.7349</v>
      </c>
      <c r="C517" s="18">
        <v>1.1878</v>
      </c>
      <c r="D517" s="16">
        <v>31463.43</v>
      </c>
      <c r="E517" s="18">
        <v>0.959</v>
      </c>
      <c r="F517" s="18">
        <v>0.0829</v>
      </c>
      <c r="G517" s="16">
        <v>4733659.98</v>
      </c>
      <c r="H517" s="16">
        <v>5642617.7</v>
      </c>
      <c r="I517" s="7" t="s">
        <v>125</v>
      </c>
    </row>
    <row r="518" ht="15" customHeight="1">
      <c r="A518" s="8">
        <v>516</v>
      </c>
      <c r="B518" s="19">
        <v>0.7549</v>
      </c>
      <c r="C518" s="19">
        <v>1.3134</v>
      </c>
      <c r="D518" s="17">
        <v>29293.87</v>
      </c>
      <c r="E518" s="19">
        <v>0.8645</v>
      </c>
      <c r="F518" s="19">
        <v>0.1185</v>
      </c>
      <c r="G518" s="17">
        <v>5243225.06</v>
      </c>
      <c r="H518" s="17">
        <v>6261475.94</v>
      </c>
      <c r="I518" s="8" t="s">
        <v>125</v>
      </c>
    </row>
    <row r="519" ht="15" customHeight="1">
      <c r="A519" s="7">
        <v>517</v>
      </c>
      <c r="B519" s="18">
        <v>0.5343</v>
      </c>
      <c r="C519" s="18">
        <v>1.0758</v>
      </c>
      <c r="D519" s="16">
        <v>33321.94</v>
      </c>
      <c r="E519" s="18">
        <v>0.9492</v>
      </c>
      <c r="F519" s="18">
        <v>0.0803</v>
      </c>
      <c r="G519" s="16">
        <v>2555098.8</v>
      </c>
      <c r="H519" s="16">
        <v>3077112.78</v>
      </c>
      <c r="I519" s="7" t="s">
        <v>125</v>
      </c>
    </row>
    <row r="520" ht="15" customHeight="1">
      <c r="A520" s="8">
        <v>518</v>
      </c>
      <c r="B520" s="19">
        <v>0.3774</v>
      </c>
      <c r="C520" s="19">
        <v>1.1317</v>
      </c>
      <c r="D520" s="17">
        <v>37089.38</v>
      </c>
      <c r="E520" s="19">
        <v>0.8711</v>
      </c>
      <c r="F520" s="19">
        <v>0.1328</v>
      </c>
      <c r="G520" s="17">
        <v>1380694.42</v>
      </c>
      <c r="H520" s="17">
        <v>1708028.25</v>
      </c>
      <c r="I520" s="8" t="s">
        <v>125</v>
      </c>
    </row>
    <row r="521" ht="15" customHeight="1">
      <c r="A521" s="7">
        <v>519</v>
      </c>
      <c r="B521" s="18">
        <v>0.7131</v>
      </c>
      <c r="C521" s="18">
        <v>1.3873</v>
      </c>
      <c r="D521" s="16">
        <v>33598.53</v>
      </c>
      <c r="E521" s="18">
        <v>0.8702</v>
      </c>
      <c r="F521" s="18">
        <v>0.1365</v>
      </c>
      <c r="G521" s="16">
        <v>5292813.11</v>
      </c>
      <c r="H521" s="16">
        <v>6331202.68</v>
      </c>
      <c r="I521" s="7" t="s">
        <v>125</v>
      </c>
    </row>
    <row r="522" ht="15" customHeight="1">
      <c r="A522" s="8">
        <v>520</v>
      </c>
      <c r="B522" s="19">
        <v>0.6528</v>
      </c>
      <c r="C522" s="19">
        <v>0.894</v>
      </c>
      <c r="D522" s="17">
        <v>35965.29</v>
      </c>
      <c r="E522" s="19">
        <v>0.8203</v>
      </c>
      <c r="F522" s="19">
        <v>0.121</v>
      </c>
      <c r="G522" s="17">
        <v>2182697.45</v>
      </c>
      <c r="H522" s="17">
        <v>2651722.16</v>
      </c>
      <c r="I522" s="8" t="s">
        <v>125</v>
      </c>
    </row>
    <row r="523" ht="15" customHeight="1">
      <c r="A523" s="7">
        <v>521</v>
      </c>
      <c r="B523" s="18">
        <v>0.6221</v>
      </c>
      <c r="C523" s="18">
        <v>0.9355</v>
      </c>
      <c r="D523" s="16">
        <v>18051.61</v>
      </c>
      <c r="E523" s="18">
        <v>0.9065</v>
      </c>
      <c r="F523" s="18">
        <v>0.0898</v>
      </c>
      <c r="G523" s="16">
        <v>2943333.39</v>
      </c>
      <c r="H523" s="16">
        <v>3533915.46</v>
      </c>
      <c r="I523" s="7" t="s">
        <v>125</v>
      </c>
    </row>
    <row r="524" ht="15" customHeight="1">
      <c r="A524" s="8">
        <v>522</v>
      </c>
      <c r="B524" s="19">
        <v>0.679</v>
      </c>
      <c r="C524" s="19">
        <v>0.7367</v>
      </c>
      <c r="D524" s="17">
        <v>23552.99</v>
      </c>
      <c r="E524" s="19">
        <v>0.8706</v>
      </c>
      <c r="F524" s="19">
        <v>0.1199</v>
      </c>
      <c r="G524" s="17">
        <v>2230998.5</v>
      </c>
      <c r="H524" s="17">
        <v>2704445.42</v>
      </c>
      <c r="I524" s="8" t="s">
        <v>125</v>
      </c>
    </row>
    <row r="525" ht="15" customHeight="1">
      <c r="A525" s="7">
        <v>523</v>
      </c>
      <c r="B525" s="18">
        <v>0.634</v>
      </c>
      <c r="C525" s="18">
        <v>1.1949</v>
      </c>
      <c r="D525" s="16">
        <v>32306.74</v>
      </c>
      <c r="E525" s="18">
        <v>0.8048</v>
      </c>
      <c r="F525" s="18">
        <v>0.118</v>
      </c>
      <c r="G525" s="16">
        <v>3272401.41</v>
      </c>
      <c r="H525" s="16">
        <v>3935916.06</v>
      </c>
      <c r="I525" s="7" t="s">
        <v>125</v>
      </c>
    </row>
    <row r="526" ht="15" customHeight="1">
      <c r="A526" s="8">
        <v>524</v>
      </c>
      <c r="B526" s="19">
        <v>0.3683</v>
      </c>
      <c r="C526" s="19">
        <v>0.9197</v>
      </c>
      <c r="D526" s="17">
        <v>31284.28</v>
      </c>
      <c r="E526" s="19">
        <v>0.9221</v>
      </c>
      <c r="F526" s="19">
        <v>0.1082</v>
      </c>
      <c r="G526" s="17">
        <v>1022071.18</v>
      </c>
      <c r="H526" s="17">
        <v>1277500.47</v>
      </c>
      <c r="I526" s="8" t="s">
        <v>125</v>
      </c>
    </row>
    <row r="527" ht="15" customHeight="1">
      <c r="A527" s="7">
        <v>525</v>
      </c>
      <c r="B527" s="18">
        <v>0.541</v>
      </c>
      <c r="C527" s="18">
        <v>1.1794</v>
      </c>
      <c r="D527" s="16">
        <v>28110.46</v>
      </c>
      <c r="E527" s="18">
        <v>0.8046</v>
      </c>
      <c r="F527" s="18">
        <v>0.05</v>
      </c>
      <c r="G527" s="16">
        <v>2336396.36</v>
      </c>
      <c r="H527" s="16">
        <v>2809233.96</v>
      </c>
      <c r="I527" s="7" t="s">
        <v>125</v>
      </c>
    </row>
    <row r="528" ht="15" customHeight="1">
      <c r="A528" s="8">
        <v>526</v>
      </c>
      <c r="B528" s="19">
        <v>0.6274</v>
      </c>
      <c r="C528" s="19">
        <v>0.9959</v>
      </c>
      <c r="D528" s="17">
        <v>32759.8</v>
      </c>
      <c r="E528" s="19">
        <v>0.7864</v>
      </c>
      <c r="F528" s="19">
        <v>0.0801</v>
      </c>
      <c r="G528" s="17">
        <v>2181027.63</v>
      </c>
      <c r="H528" s="17">
        <v>2636594.96</v>
      </c>
      <c r="I528" s="8" t="s">
        <v>125</v>
      </c>
    </row>
    <row r="529" ht="15" customHeight="1">
      <c r="A529" s="7">
        <v>527</v>
      </c>
      <c r="B529" s="18">
        <v>0.725</v>
      </c>
      <c r="C529" s="18">
        <v>0.9543</v>
      </c>
      <c r="D529" s="16">
        <v>23865.7</v>
      </c>
      <c r="E529" s="18">
        <v>0.9028</v>
      </c>
      <c r="F529" s="18">
        <v>0.0982</v>
      </c>
      <c r="G529" s="16">
        <v>3523340.27</v>
      </c>
      <c r="H529" s="16">
        <v>4221832.96</v>
      </c>
      <c r="I529" s="7" t="s">
        <v>125</v>
      </c>
    </row>
    <row r="530" ht="15" customHeight="1">
      <c r="A530" s="8">
        <v>528</v>
      </c>
      <c r="B530" s="19">
        <v>0.4431</v>
      </c>
      <c r="C530" s="19">
        <v>0.9264</v>
      </c>
      <c r="D530" s="17">
        <v>32282.72</v>
      </c>
      <c r="E530" s="19">
        <v>0.7931</v>
      </c>
      <c r="F530" s="19">
        <v>0.1011</v>
      </c>
      <c r="G530" s="17">
        <v>1067362.63</v>
      </c>
      <c r="H530" s="17">
        <v>1329776.12</v>
      </c>
      <c r="I530" s="8" t="s">
        <v>125</v>
      </c>
    </row>
    <row r="531" ht="15" customHeight="1">
      <c r="A531" s="7">
        <v>529</v>
      </c>
      <c r="B531" s="18">
        <v>0.728</v>
      </c>
      <c r="C531" s="18">
        <v>1.1615</v>
      </c>
      <c r="D531" s="16">
        <v>29765.35</v>
      </c>
      <c r="E531" s="18">
        <v>0.8614</v>
      </c>
      <c r="F531" s="18">
        <v>0.0612</v>
      </c>
      <c r="G531" s="16">
        <v>3849485.63</v>
      </c>
      <c r="H531" s="16">
        <v>4591653.7</v>
      </c>
      <c r="I531" s="7" t="s">
        <v>125</v>
      </c>
    </row>
    <row r="532" ht="15" customHeight="1">
      <c r="A532" s="8">
        <v>530</v>
      </c>
      <c r="B532" s="19">
        <v>0.4179</v>
      </c>
      <c r="C532" s="19">
        <v>0.5779</v>
      </c>
      <c r="D532" s="17">
        <v>24440.47</v>
      </c>
      <c r="E532" s="19">
        <v>0.8747</v>
      </c>
      <c r="F532" s="19">
        <v>0.1518</v>
      </c>
      <c r="G532" s="17">
        <v>569288.7</v>
      </c>
      <c r="H532" s="17">
        <v>747394.12</v>
      </c>
      <c r="I532" s="8" t="s">
        <v>125</v>
      </c>
    </row>
    <row r="533" ht="15" customHeight="1">
      <c r="A533" s="7">
        <v>531</v>
      </c>
      <c r="B533" s="18">
        <v>0.6895</v>
      </c>
      <c r="C533" s="18">
        <v>1.0831</v>
      </c>
      <c r="D533" s="16">
        <v>21531.5</v>
      </c>
      <c r="E533" s="18">
        <v>0.8133</v>
      </c>
      <c r="F533" s="18">
        <v>0.0885</v>
      </c>
      <c r="G533" s="16">
        <v>3410820.37</v>
      </c>
      <c r="H533" s="16">
        <v>4084979.93</v>
      </c>
      <c r="I533" s="7" t="s">
        <v>125</v>
      </c>
    </row>
    <row r="534" ht="15" customHeight="1">
      <c r="A534" s="8">
        <v>532</v>
      </c>
      <c r="B534" s="19">
        <v>0.3529</v>
      </c>
      <c r="C534" s="19">
        <v>0.9095</v>
      </c>
      <c r="D534" s="17">
        <v>27325.38</v>
      </c>
      <c r="E534" s="19">
        <v>0.8363</v>
      </c>
      <c r="F534" s="19">
        <v>0.1049</v>
      </c>
      <c r="G534" s="17">
        <v>806790.51</v>
      </c>
      <c r="H534" s="17">
        <v>1021870.68</v>
      </c>
      <c r="I534" s="8" t="s">
        <v>125</v>
      </c>
    </row>
    <row r="535" ht="15" customHeight="1">
      <c r="A535" s="7">
        <v>533</v>
      </c>
      <c r="B535" s="18">
        <v>0.7022</v>
      </c>
      <c r="C535" s="18">
        <v>0.9381</v>
      </c>
      <c r="D535" s="16">
        <v>21679.66</v>
      </c>
      <c r="E535" s="18">
        <v>0.9089</v>
      </c>
      <c r="F535" s="18">
        <v>0.0802</v>
      </c>
      <c r="G535" s="16">
        <v>3295792.69</v>
      </c>
      <c r="H535" s="16">
        <v>3946470.56</v>
      </c>
      <c r="I535" s="7" t="s">
        <v>125</v>
      </c>
    </row>
    <row r="536" ht="15" customHeight="1">
      <c r="A536" s="8">
        <v>534</v>
      </c>
      <c r="B536" s="19">
        <v>0.5756</v>
      </c>
      <c r="C536" s="19">
        <v>1.1743</v>
      </c>
      <c r="D536" s="17">
        <v>27594.47</v>
      </c>
      <c r="E536" s="19">
        <v>0.8458</v>
      </c>
      <c r="F536" s="19">
        <v>0.1055</v>
      </c>
      <c r="G536" s="17">
        <v>3058574.23</v>
      </c>
      <c r="H536" s="17">
        <v>3677595.49</v>
      </c>
      <c r="I536" s="8" t="s">
        <v>125</v>
      </c>
    </row>
    <row r="537" ht="15" customHeight="1">
      <c r="A537" s="7">
        <v>535</v>
      </c>
      <c r="B537" s="18">
        <v>0.5399</v>
      </c>
      <c r="C537" s="18">
        <v>0.5123</v>
      </c>
      <c r="D537" s="16">
        <v>27718.63</v>
      </c>
      <c r="E537" s="18">
        <v>0.9136</v>
      </c>
      <c r="F537" s="18">
        <v>0.1276</v>
      </c>
      <c r="G537" s="16">
        <v>734715.48</v>
      </c>
      <c r="H537" s="16">
        <v>940629.81</v>
      </c>
      <c r="I537" s="7" t="s">
        <v>125</v>
      </c>
    </row>
    <row r="538" ht="15" customHeight="1">
      <c r="A538" s="8">
        <v>536</v>
      </c>
      <c r="B538" s="19">
        <v>0.6715</v>
      </c>
      <c r="C538" s="19">
        <v>0.9793</v>
      </c>
      <c r="D538" s="17">
        <v>29991.44</v>
      </c>
      <c r="E538" s="19">
        <v>0.9165</v>
      </c>
      <c r="F538" s="19">
        <v>0.0116</v>
      </c>
      <c r="G538" s="17">
        <v>2684255.44</v>
      </c>
      <c r="H538" s="17">
        <v>3204534.69</v>
      </c>
      <c r="I538" s="8" t="s">
        <v>125</v>
      </c>
    </row>
    <row r="539" ht="15" customHeight="1">
      <c r="A539" s="7">
        <v>537</v>
      </c>
      <c r="B539" s="18">
        <v>0.4758</v>
      </c>
      <c r="C539" s="18">
        <v>1.2154</v>
      </c>
      <c r="D539" s="16">
        <v>26235.51</v>
      </c>
      <c r="E539" s="18">
        <v>0.8267</v>
      </c>
      <c r="F539" s="18">
        <v>0.0913</v>
      </c>
      <c r="G539" s="16">
        <v>2337373.89</v>
      </c>
      <c r="H539" s="16">
        <v>2822536.68</v>
      </c>
      <c r="I539" s="7" t="s">
        <v>125</v>
      </c>
    </row>
    <row r="540" ht="15" customHeight="1">
      <c r="A540" s="8">
        <v>538</v>
      </c>
      <c r="B540" s="19">
        <v>0.6206</v>
      </c>
      <c r="C540" s="19">
        <v>0.8976</v>
      </c>
      <c r="D540" s="17">
        <v>25697.22</v>
      </c>
      <c r="E540" s="19">
        <v>0.8272</v>
      </c>
      <c r="F540" s="19">
        <v>0.1201</v>
      </c>
      <c r="G540" s="17">
        <v>2357740.64</v>
      </c>
      <c r="H540" s="17">
        <v>2854789.89</v>
      </c>
      <c r="I540" s="8" t="s">
        <v>125</v>
      </c>
    </row>
    <row r="541" ht="15" customHeight="1">
      <c r="A541" s="7">
        <v>539</v>
      </c>
      <c r="B541" s="18">
        <v>0.4232</v>
      </c>
      <c r="C541" s="18">
        <v>0.9487</v>
      </c>
      <c r="D541" s="16">
        <v>29060.15</v>
      </c>
      <c r="E541" s="18">
        <v>0.9691</v>
      </c>
      <c r="F541" s="18">
        <v>0.0023</v>
      </c>
      <c r="G541" s="16">
        <v>1277989.75</v>
      </c>
      <c r="H541" s="16">
        <v>1555425.64</v>
      </c>
      <c r="I541" s="7" t="s">
        <v>125</v>
      </c>
    </row>
    <row r="542" ht="15" customHeight="1">
      <c r="A542" s="8">
        <v>540</v>
      </c>
      <c r="B542" s="19">
        <v>0.753</v>
      </c>
      <c r="C542" s="19">
        <v>1.1221</v>
      </c>
      <c r="D542" s="17">
        <v>22246.54</v>
      </c>
      <c r="E542" s="19">
        <v>0.8908</v>
      </c>
      <c r="F542" s="19">
        <v>0.0933</v>
      </c>
      <c r="G542" s="17">
        <v>4482076.6</v>
      </c>
      <c r="H542" s="17">
        <v>5349188.49</v>
      </c>
      <c r="I542" s="8" t="s">
        <v>125</v>
      </c>
    </row>
    <row r="543" ht="15" customHeight="1">
      <c r="A543" s="7">
        <v>541</v>
      </c>
      <c r="B543" s="18">
        <v>0.6111</v>
      </c>
      <c r="C543" s="18">
        <v>1.0047</v>
      </c>
      <c r="D543" s="16">
        <v>22865.56</v>
      </c>
      <c r="E543" s="18">
        <v>0.9234</v>
      </c>
      <c r="F543" s="18">
        <v>0.1038</v>
      </c>
      <c r="G543" s="16">
        <v>3159316.11</v>
      </c>
      <c r="H543" s="16">
        <v>3794461.35</v>
      </c>
      <c r="I543" s="7" t="s">
        <v>125</v>
      </c>
    </row>
    <row r="544" ht="15" customHeight="1">
      <c r="A544" s="8">
        <v>542</v>
      </c>
      <c r="B544" s="19">
        <v>0.6358</v>
      </c>
      <c r="C544" s="19">
        <v>1.4094</v>
      </c>
      <c r="D544" s="17">
        <v>24009.26</v>
      </c>
      <c r="E544" s="19">
        <v>0.8114</v>
      </c>
      <c r="F544" s="19">
        <v>0.1588</v>
      </c>
      <c r="G544" s="17">
        <v>4716538.52</v>
      </c>
      <c r="H544" s="17">
        <v>5657085.7</v>
      </c>
      <c r="I544" s="8" t="s">
        <v>125</v>
      </c>
    </row>
    <row r="545" ht="15" customHeight="1">
      <c r="A545" s="7">
        <v>543</v>
      </c>
      <c r="B545" s="18">
        <v>0.7456</v>
      </c>
      <c r="C545" s="18">
        <v>0.7697</v>
      </c>
      <c r="D545" s="16">
        <v>25820.24</v>
      </c>
      <c r="E545" s="18">
        <v>0.8142</v>
      </c>
      <c r="F545" s="18">
        <v>0.0973</v>
      </c>
      <c r="G545" s="16">
        <v>2298314.69</v>
      </c>
      <c r="H545" s="16">
        <v>2778142.17</v>
      </c>
      <c r="I545" s="7" t="s">
        <v>125</v>
      </c>
    </row>
    <row r="546" ht="15" customHeight="1">
      <c r="A546" s="8">
        <v>544</v>
      </c>
      <c r="B546" s="19">
        <v>0.7152</v>
      </c>
      <c r="C546" s="19">
        <v>0.7839</v>
      </c>
      <c r="D546" s="17">
        <v>28682.49</v>
      </c>
      <c r="E546" s="19">
        <v>0.9198</v>
      </c>
      <c r="F546" s="19">
        <v>0.1032</v>
      </c>
      <c r="G546" s="17">
        <v>2596786.55</v>
      </c>
      <c r="H546" s="17">
        <v>3132579.15</v>
      </c>
      <c r="I546" s="8" t="s">
        <v>125</v>
      </c>
    </row>
    <row r="547" ht="15" customHeight="1">
      <c r="A547" s="7">
        <v>545</v>
      </c>
      <c r="B547" s="18">
        <v>0.6418</v>
      </c>
      <c r="C547" s="18">
        <v>0.9669</v>
      </c>
      <c r="D547" s="16">
        <v>29695.66</v>
      </c>
      <c r="E547" s="18">
        <v>0.8863</v>
      </c>
      <c r="F547" s="18">
        <v>0.0994</v>
      </c>
      <c r="G547" s="16">
        <v>2799716.48</v>
      </c>
      <c r="H547" s="16">
        <v>3370846.13</v>
      </c>
      <c r="I547" s="7" t="s">
        <v>125</v>
      </c>
    </row>
    <row r="548" ht="15" customHeight="1">
      <c r="A548" s="8">
        <v>546</v>
      </c>
      <c r="B548" s="19">
        <v>0.4545</v>
      </c>
      <c r="C548" s="19">
        <v>1.035</v>
      </c>
      <c r="D548" s="17">
        <v>29770.79</v>
      </c>
      <c r="E548" s="19">
        <v>0.9541</v>
      </c>
      <c r="F548" s="19">
        <v>0.1224</v>
      </c>
      <c r="G548" s="17">
        <v>2152133.58</v>
      </c>
      <c r="H548" s="17">
        <v>2614029.86</v>
      </c>
      <c r="I548" s="8" t="s">
        <v>125</v>
      </c>
    </row>
    <row r="549" ht="15" customHeight="1">
      <c r="A549" s="7">
        <v>547</v>
      </c>
      <c r="B549" s="18">
        <v>0.7603</v>
      </c>
      <c r="C549" s="18">
        <v>1.2476</v>
      </c>
      <c r="D549" s="16">
        <v>26293.79</v>
      </c>
      <c r="E549" s="18">
        <v>0.8532</v>
      </c>
      <c r="F549" s="18">
        <v>0.1423</v>
      </c>
      <c r="G549" s="16">
        <v>5165399.29</v>
      </c>
      <c r="H549" s="16">
        <v>6180947.8</v>
      </c>
      <c r="I549" s="7" t="s">
        <v>125</v>
      </c>
    </row>
    <row r="550" ht="15" customHeight="1">
      <c r="A550" s="8">
        <v>548</v>
      </c>
      <c r="B550" s="19">
        <v>0.4827</v>
      </c>
      <c r="C550" s="19">
        <v>1.0806</v>
      </c>
      <c r="D550" s="17">
        <v>29051.44</v>
      </c>
      <c r="E550" s="19">
        <v>0.9011</v>
      </c>
      <c r="F550" s="19">
        <v>0.0342</v>
      </c>
      <c r="G550" s="17">
        <v>1938584.24</v>
      </c>
      <c r="H550" s="17">
        <v>2337649.42</v>
      </c>
      <c r="I550" s="8" t="s">
        <v>125</v>
      </c>
    </row>
    <row r="551" ht="15" customHeight="1">
      <c r="A551" s="7">
        <v>549</v>
      </c>
      <c r="B551" s="18">
        <v>0.5263</v>
      </c>
      <c r="C551" s="18">
        <v>1.0506</v>
      </c>
      <c r="D551" s="16">
        <v>25115.31</v>
      </c>
      <c r="E551" s="18">
        <v>0.8505</v>
      </c>
      <c r="F551" s="18">
        <v>0.0768</v>
      </c>
      <c r="G551" s="16">
        <v>2249111.88</v>
      </c>
      <c r="H551" s="16">
        <v>2714125</v>
      </c>
      <c r="I551" s="7" t="s">
        <v>125</v>
      </c>
    </row>
    <row r="552" ht="15" customHeight="1">
      <c r="A552" s="8">
        <v>550</v>
      </c>
      <c r="B552" s="19">
        <v>0.6874</v>
      </c>
      <c r="C552" s="19">
        <v>0.7154</v>
      </c>
      <c r="D552" s="17">
        <v>29757.73</v>
      </c>
      <c r="E552" s="19">
        <v>0.9141</v>
      </c>
      <c r="F552" s="19">
        <v>0.0735</v>
      </c>
      <c r="G552" s="17">
        <v>1943227.62</v>
      </c>
      <c r="H552" s="17">
        <v>2354176.66</v>
      </c>
      <c r="I552" s="8" t="s">
        <v>125</v>
      </c>
    </row>
    <row r="553" ht="15" customHeight="1">
      <c r="A553" s="7">
        <v>551</v>
      </c>
      <c r="B553" s="18">
        <v>0.7289</v>
      </c>
      <c r="C553" s="18">
        <v>1.3073</v>
      </c>
      <c r="D553" s="16">
        <v>23358.65</v>
      </c>
      <c r="E553" s="18">
        <v>0.8405</v>
      </c>
      <c r="F553" s="18">
        <v>0.0777</v>
      </c>
      <c r="G553" s="16">
        <v>4680873.53</v>
      </c>
      <c r="H553" s="16">
        <v>5576094.99</v>
      </c>
      <c r="I553" s="7" t="s">
        <v>125</v>
      </c>
    </row>
    <row r="554" ht="15" customHeight="1">
      <c r="A554" s="8">
        <v>552</v>
      </c>
      <c r="B554" s="19">
        <v>0.7883</v>
      </c>
      <c r="C554" s="19">
        <v>0.8663</v>
      </c>
      <c r="D554" s="17">
        <v>29461.57</v>
      </c>
      <c r="E554" s="19">
        <v>0.9042</v>
      </c>
      <c r="F554" s="19">
        <v>0.0954</v>
      </c>
      <c r="G554" s="17">
        <v>3281849.54</v>
      </c>
      <c r="H554" s="17">
        <v>3937618.62</v>
      </c>
      <c r="I554" s="8" t="s">
        <v>125</v>
      </c>
    </row>
    <row r="555" ht="15" customHeight="1">
      <c r="A555" s="7">
        <v>553</v>
      </c>
      <c r="B555" s="18">
        <v>0.5242</v>
      </c>
      <c r="C555" s="18">
        <v>1.0342</v>
      </c>
      <c r="D555" s="16">
        <v>24972.07</v>
      </c>
      <c r="E555" s="18">
        <v>0.8523</v>
      </c>
      <c r="F555" s="18">
        <v>0.0811</v>
      </c>
      <c r="G555" s="16">
        <v>2213865.87</v>
      </c>
      <c r="H555" s="16">
        <v>2673833.48</v>
      </c>
      <c r="I555" s="7" t="s">
        <v>125</v>
      </c>
    </row>
    <row r="556" ht="15" customHeight="1">
      <c r="A556" s="8">
        <v>554</v>
      </c>
      <c r="B556" s="19">
        <v>0.5117</v>
      </c>
      <c r="C556" s="19">
        <v>1.2617</v>
      </c>
      <c r="D556" s="17">
        <v>23003.37</v>
      </c>
      <c r="E556" s="19">
        <v>0.9095</v>
      </c>
      <c r="F556" s="19">
        <v>0.0793</v>
      </c>
      <c r="G556" s="17">
        <v>3166720.16</v>
      </c>
      <c r="H556" s="17">
        <v>3794506.09</v>
      </c>
      <c r="I556" s="8" t="s">
        <v>125</v>
      </c>
    </row>
    <row r="557" ht="15" customHeight="1">
      <c r="A557" s="7">
        <v>555</v>
      </c>
      <c r="B557" s="18">
        <v>0.6357</v>
      </c>
      <c r="C557" s="18">
        <v>0.8536</v>
      </c>
      <c r="D557" s="16">
        <v>18431.8</v>
      </c>
      <c r="E557" s="18">
        <v>0.794</v>
      </c>
      <c r="F557" s="18">
        <v>0.1235</v>
      </c>
      <c r="G557" s="16">
        <v>2369021.81</v>
      </c>
      <c r="H557" s="16">
        <v>2866708.59</v>
      </c>
      <c r="I557" s="7" t="s">
        <v>125</v>
      </c>
    </row>
    <row r="558" ht="15" customHeight="1">
      <c r="A558" s="8">
        <v>556</v>
      </c>
      <c r="B558" s="19">
        <v>0.5861</v>
      </c>
      <c r="C558" s="19">
        <v>0.9891</v>
      </c>
      <c r="D558" s="17">
        <v>34774.16</v>
      </c>
      <c r="E558" s="19">
        <v>0.8308</v>
      </c>
      <c r="F558" s="19">
        <v>0.0716</v>
      </c>
      <c r="G558" s="17">
        <v>2009439.36</v>
      </c>
      <c r="H558" s="17">
        <v>2432520.58</v>
      </c>
      <c r="I558" s="8" t="s">
        <v>125</v>
      </c>
    </row>
    <row r="559" ht="15" customHeight="1">
      <c r="A559" s="7">
        <v>557</v>
      </c>
      <c r="B559" s="18">
        <v>0.6378</v>
      </c>
      <c r="C559" s="18">
        <v>1.1032</v>
      </c>
      <c r="D559" s="16">
        <v>34307.87</v>
      </c>
      <c r="E559" s="18">
        <v>0.771</v>
      </c>
      <c r="F559" s="18">
        <v>0.1297</v>
      </c>
      <c r="G559" s="16">
        <v>2764932.97</v>
      </c>
      <c r="H559" s="16">
        <v>3341545.11</v>
      </c>
      <c r="I559" s="7" t="s">
        <v>125</v>
      </c>
    </row>
    <row r="560" ht="15" customHeight="1">
      <c r="A560" s="8">
        <v>558</v>
      </c>
      <c r="B560" s="19">
        <v>0.6994</v>
      </c>
      <c r="C560" s="19">
        <v>0.7729</v>
      </c>
      <c r="D560" s="17">
        <v>27758.83</v>
      </c>
      <c r="E560" s="19">
        <v>0.9288</v>
      </c>
      <c r="F560" s="19">
        <v>0.0708</v>
      </c>
      <c r="G560" s="17">
        <v>2367185.42</v>
      </c>
      <c r="H560" s="17">
        <v>2851784.35</v>
      </c>
      <c r="I560" s="8" t="s">
        <v>125</v>
      </c>
    </row>
    <row r="561" ht="15" customHeight="1">
      <c r="A561" s="7">
        <v>559</v>
      </c>
      <c r="B561" s="18">
        <v>0.5785</v>
      </c>
      <c r="C561" s="18">
        <v>0.9259</v>
      </c>
      <c r="D561" s="16">
        <v>34622.03</v>
      </c>
      <c r="E561" s="18">
        <v>0.8812</v>
      </c>
      <c r="F561" s="18">
        <v>0.0978</v>
      </c>
      <c r="G561" s="16">
        <v>2064847.63</v>
      </c>
      <c r="H561" s="16">
        <v>2505444.98</v>
      </c>
      <c r="I561" s="7" t="s">
        <v>125</v>
      </c>
    </row>
    <row r="562" ht="15" customHeight="1">
      <c r="A562" s="8">
        <v>560</v>
      </c>
      <c r="B562" s="19">
        <v>0.5305</v>
      </c>
      <c r="C562" s="19">
        <v>1.0233</v>
      </c>
      <c r="D562" s="17">
        <v>31798.82</v>
      </c>
      <c r="E562" s="19">
        <v>0.9291</v>
      </c>
      <c r="F562" s="19">
        <v>0.0509</v>
      </c>
      <c r="G562" s="17">
        <v>2164710.75</v>
      </c>
      <c r="H562" s="17">
        <v>2608361.3</v>
      </c>
      <c r="I562" s="8" t="s">
        <v>125</v>
      </c>
    </row>
    <row r="563" ht="15" customHeight="1">
      <c r="A563" s="7">
        <v>561</v>
      </c>
      <c r="B563" s="18">
        <v>0.5075</v>
      </c>
      <c r="C563" s="18">
        <v>0.7565</v>
      </c>
      <c r="D563" s="16">
        <v>30880.74</v>
      </c>
      <c r="E563" s="18">
        <v>0.8647</v>
      </c>
      <c r="F563" s="18">
        <v>0.069</v>
      </c>
      <c r="G563" s="16">
        <v>1055908.57</v>
      </c>
      <c r="H563" s="16">
        <v>1309483.23</v>
      </c>
      <c r="I563" s="7" t="s">
        <v>125</v>
      </c>
    </row>
    <row r="564" ht="15" customHeight="1">
      <c r="A564" s="8">
        <v>562</v>
      </c>
      <c r="B564" s="19">
        <v>0.6687</v>
      </c>
      <c r="C564" s="19">
        <v>0.918</v>
      </c>
      <c r="D564" s="17">
        <v>26242.59</v>
      </c>
      <c r="E564" s="19">
        <v>0.8774</v>
      </c>
      <c r="F564" s="19">
        <v>0.147</v>
      </c>
      <c r="G564" s="17">
        <v>3077413.01</v>
      </c>
      <c r="H564" s="17">
        <v>3713836.65</v>
      </c>
      <c r="I564" s="8" t="s">
        <v>125</v>
      </c>
    </row>
    <row r="565" ht="15" customHeight="1">
      <c r="A565" s="7">
        <v>563</v>
      </c>
      <c r="B565" s="18">
        <v>0.7946</v>
      </c>
      <c r="C565" s="18">
        <v>0.9647</v>
      </c>
      <c r="D565" s="16">
        <v>26725.37</v>
      </c>
      <c r="E565" s="18">
        <v>0.8423</v>
      </c>
      <c r="F565" s="18">
        <v>0.0747</v>
      </c>
      <c r="G565" s="16">
        <v>3444635.61</v>
      </c>
      <c r="H565" s="16">
        <v>4120595.04</v>
      </c>
      <c r="I565" s="7" t="s">
        <v>125</v>
      </c>
    </row>
    <row r="566" ht="15" customHeight="1">
      <c r="A566" s="8">
        <v>564</v>
      </c>
      <c r="B566" s="19">
        <v>0.7403</v>
      </c>
      <c r="C566" s="19">
        <v>0.902</v>
      </c>
      <c r="D566" s="17">
        <v>24993.57</v>
      </c>
      <c r="E566" s="19">
        <v>0.888</v>
      </c>
      <c r="F566" s="19">
        <v>0.0862</v>
      </c>
      <c r="G566" s="17">
        <v>3185576.16</v>
      </c>
      <c r="H566" s="17">
        <v>3819635.74</v>
      </c>
      <c r="I566" s="8" t="s">
        <v>125</v>
      </c>
    </row>
    <row r="567" ht="15" customHeight="1">
      <c r="A567" s="7">
        <v>565</v>
      </c>
      <c r="B567" s="18">
        <v>0.7134</v>
      </c>
      <c r="C567" s="18">
        <v>0.9684</v>
      </c>
      <c r="D567" s="16">
        <v>37345.01</v>
      </c>
      <c r="E567" s="18">
        <v>0.8302</v>
      </c>
      <c r="F567" s="18">
        <v>0.087</v>
      </c>
      <c r="G567" s="16">
        <v>2669712.66</v>
      </c>
      <c r="H567" s="16">
        <v>3215286.05</v>
      </c>
      <c r="I567" s="7" t="s">
        <v>125</v>
      </c>
    </row>
    <row r="568" ht="15" customHeight="1">
      <c r="A568" s="8">
        <v>566</v>
      </c>
      <c r="B568" s="19">
        <v>0.825</v>
      </c>
      <c r="C568" s="19">
        <v>0.9216</v>
      </c>
      <c r="D568" s="17">
        <v>29154.03</v>
      </c>
      <c r="E568" s="19">
        <v>0.8924</v>
      </c>
      <c r="F568" s="19">
        <v>0.1506</v>
      </c>
      <c r="G568" s="17">
        <v>4112189.08</v>
      </c>
      <c r="H568" s="17">
        <v>4940351.33</v>
      </c>
      <c r="I568" s="8" t="s">
        <v>125</v>
      </c>
    </row>
    <row r="569" ht="15" customHeight="1">
      <c r="A569" s="7">
        <v>567</v>
      </c>
      <c r="B569" s="18">
        <v>0.53</v>
      </c>
      <c r="C569" s="18">
        <v>1.2368</v>
      </c>
      <c r="D569" s="16">
        <v>21236.59</v>
      </c>
      <c r="E569" s="18">
        <v>0.9274</v>
      </c>
      <c r="F569" s="18">
        <v>0.1841</v>
      </c>
      <c r="G569" s="16">
        <v>4009004.12</v>
      </c>
      <c r="H569" s="16">
        <v>4828422.32</v>
      </c>
      <c r="I569" s="7" t="s">
        <v>125</v>
      </c>
    </row>
    <row r="570" ht="15" customHeight="1">
      <c r="A570" s="8">
        <v>568</v>
      </c>
      <c r="B570" s="19">
        <v>0.6531</v>
      </c>
      <c r="C570" s="19">
        <v>0.8432</v>
      </c>
      <c r="D570" s="17">
        <v>25801.1</v>
      </c>
      <c r="E570" s="19">
        <v>0.8406</v>
      </c>
      <c r="F570" s="19">
        <v>0.0974</v>
      </c>
      <c r="G570" s="17">
        <v>2267309.73</v>
      </c>
      <c r="H570" s="17">
        <v>2741639.47</v>
      </c>
      <c r="I570" s="8" t="s">
        <v>125</v>
      </c>
    </row>
    <row r="571" ht="15" customHeight="1">
      <c r="A571" s="7">
        <v>569</v>
      </c>
      <c r="B571" s="18">
        <v>0.6888</v>
      </c>
      <c r="C571" s="18">
        <v>0.7759</v>
      </c>
      <c r="D571" s="16">
        <v>28143.26</v>
      </c>
      <c r="E571" s="18">
        <v>0.8005</v>
      </c>
      <c r="F571" s="18">
        <v>0.0991</v>
      </c>
      <c r="G571" s="16">
        <v>1943935.19</v>
      </c>
      <c r="H571" s="16">
        <v>2361559.46</v>
      </c>
      <c r="I571" s="7" t="s">
        <v>125</v>
      </c>
    </row>
    <row r="572" ht="15" customHeight="1">
      <c r="A572" s="8">
        <v>570</v>
      </c>
      <c r="B572" s="19">
        <v>0.4606</v>
      </c>
      <c r="C572" s="19">
        <v>0.9333</v>
      </c>
      <c r="D572" s="17">
        <v>16282.56</v>
      </c>
      <c r="E572" s="19">
        <v>0.8746</v>
      </c>
      <c r="F572" s="19">
        <v>0.1114</v>
      </c>
      <c r="G572" s="17">
        <v>1971307.74</v>
      </c>
      <c r="H572" s="17">
        <v>2393556.6</v>
      </c>
      <c r="I572" s="8" t="s">
        <v>125</v>
      </c>
    </row>
    <row r="573" ht="15" customHeight="1">
      <c r="A573" s="7">
        <v>571</v>
      </c>
      <c r="B573" s="18">
        <v>0.5647</v>
      </c>
      <c r="C573" s="18">
        <v>1.0135</v>
      </c>
      <c r="D573" s="16">
        <v>25540.1</v>
      </c>
      <c r="E573" s="18">
        <v>0.8178</v>
      </c>
      <c r="F573" s="18">
        <v>0.1754</v>
      </c>
      <c r="G573" s="16">
        <v>2681032.89</v>
      </c>
      <c r="H573" s="16">
        <v>3253394.16</v>
      </c>
      <c r="I573" s="7" t="s">
        <v>125</v>
      </c>
    </row>
    <row r="574" ht="15" customHeight="1">
      <c r="A574" s="8">
        <v>572</v>
      </c>
      <c r="B574" s="19">
        <v>0.5187</v>
      </c>
      <c r="C574" s="19">
        <v>1.1746</v>
      </c>
      <c r="D574" s="17">
        <v>19772.18</v>
      </c>
      <c r="E574" s="19">
        <v>0.9388</v>
      </c>
      <c r="F574" s="19">
        <v>0.0717</v>
      </c>
      <c r="G574" s="17">
        <v>3114824.32</v>
      </c>
      <c r="H574" s="17">
        <v>3730048.63</v>
      </c>
      <c r="I574" s="8" t="s">
        <v>125</v>
      </c>
    </row>
    <row r="575" ht="15" customHeight="1">
      <c r="A575" s="7">
        <v>573</v>
      </c>
      <c r="B575" s="18">
        <v>0.5175</v>
      </c>
      <c r="C575" s="18">
        <v>0.999</v>
      </c>
      <c r="D575" s="16">
        <v>25149.22</v>
      </c>
      <c r="E575" s="18">
        <v>0.8608</v>
      </c>
      <c r="F575" s="18">
        <v>0.118</v>
      </c>
      <c r="G575" s="16">
        <v>2245587.8</v>
      </c>
      <c r="H575" s="16">
        <v>2721642.9</v>
      </c>
      <c r="I575" s="7" t="s">
        <v>125</v>
      </c>
    </row>
    <row r="576" ht="15" customHeight="1">
      <c r="A576" s="8">
        <v>574</v>
      </c>
      <c r="B576" s="19">
        <v>0.6792</v>
      </c>
      <c r="C576" s="19">
        <v>1.027</v>
      </c>
      <c r="D576" s="17">
        <v>23623.09</v>
      </c>
      <c r="E576" s="19">
        <v>0.8281</v>
      </c>
      <c r="F576" s="19">
        <v>0.0681</v>
      </c>
      <c r="G576" s="17">
        <v>3016578.84</v>
      </c>
      <c r="H576" s="17">
        <v>3613951.09</v>
      </c>
      <c r="I576" s="8" t="s">
        <v>125</v>
      </c>
    </row>
    <row r="577" ht="15" customHeight="1">
      <c r="A577" s="7">
        <v>575</v>
      </c>
      <c r="B577" s="18">
        <v>0.6754</v>
      </c>
      <c r="C577" s="18">
        <v>1.0148</v>
      </c>
      <c r="D577" s="16">
        <v>25708.56</v>
      </c>
      <c r="E577" s="18">
        <v>0.8082</v>
      </c>
      <c r="F577" s="18">
        <v>0.0783</v>
      </c>
      <c r="G577" s="16">
        <v>2839120.77</v>
      </c>
      <c r="H577" s="16">
        <v>3409126.14</v>
      </c>
      <c r="I577" s="7" t="s">
        <v>125</v>
      </c>
    </row>
    <row r="578" ht="15" customHeight="1">
      <c r="A578" s="8">
        <v>576</v>
      </c>
      <c r="B578" s="19">
        <v>0.6094</v>
      </c>
      <c r="C578" s="19">
        <v>0.9456</v>
      </c>
      <c r="D578" s="17">
        <v>26076.45</v>
      </c>
      <c r="E578" s="19">
        <v>0.8382</v>
      </c>
      <c r="F578" s="19">
        <v>0.0601</v>
      </c>
      <c r="G578" s="17">
        <v>2234469.12</v>
      </c>
      <c r="H578" s="17">
        <v>2692209.55</v>
      </c>
      <c r="I578" s="8" t="s">
        <v>125</v>
      </c>
    </row>
    <row r="579" ht="15" customHeight="1">
      <c r="A579" s="7">
        <v>577</v>
      </c>
      <c r="B579" s="18">
        <v>0.4833</v>
      </c>
      <c r="C579" s="18">
        <v>1.1097</v>
      </c>
      <c r="D579" s="16">
        <v>28443.69</v>
      </c>
      <c r="E579" s="18">
        <v>0.8498</v>
      </c>
      <c r="F579" s="18">
        <v>0.1483</v>
      </c>
      <c r="G579" s="16">
        <v>2364027.13</v>
      </c>
      <c r="H579" s="16">
        <v>2871330.7</v>
      </c>
      <c r="I579" s="7" t="s">
        <v>125</v>
      </c>
    </row>
    <row r="580" ht="15" customHeight="1">
      <c r="A580" s="8">
        <v>578</v>
      </c>
      <c r="B580" s="19">
        <v>0.6652</v>
      </c>
      <c r="C580" s="19">
        <v>0.8551</v>
      </c>
      <c r="D580" s="17">
        <v>33036.54</v>
      </c>
      <c r="E580" s="19">
        <v>0.9391</v>
      </c>
      <c r="F580" s="19">
        <v>0.0623</v>
      </c>
      <c r="G580" s="17">
        <v>2390484.23</v>
      </c>
      <c r="H580" s="17">
        <v>2877467.95</v>
      </c>
      <c r="I580" s="8" t="s">
        <v>125</v>
      </c>
    </row>
    <row r="581" ht="15" customHeight="1">
      <c r="A581" s="7">
        <v>579</v>
      </c>
      <c r="B581" s="18">
        <v>0.6534</v>
      </c>
      <c r="C581" s="18">
        <v>1.0367</v>
      </c>
      <c r="D581" s="16">
        <v>23295.25</v>
      </c>
      <c r="E581" s="18">
        <v>0.8485</v>
      </c>
      <c r="F581" s="18">
        <v>0.1366</v>
      </c>
      <c r="G581" s="16">
        <v>3392369.61</v>
      </c>
      <c r="H581" s="16">
        <v>4081455.88</v>
      </c>
      <c r="I581" s="7" t="s">
        <v>125</v>
      </c>
    </row>
    <row r="582" ht="15" customHeight="1">
      <c r="A582" s="8">
        <v>580</v>
      </c>
      <c r="B582" s="19">
        <v>0.6918</v>
      </c>
      <c r="C582" s="19">
        <v>1.1037</v>
      </c>
      <c r="D582" s="17">
        <v>25458.34</v>
      </c>
      <c r="E582" s="19">
        <v>0.8994</v>
      </c>
      <c r="F582" s="19">
        <v>0.0809</v>
      </c>
      <c r="G582" s="17">
        <v>3817520.98</v>
      </c>
      <c r="H582" s="17">
        <v>4561742.08</v>
      </c>
      <c r="I582" s="8" t="s">
        <v>125</v>
      </c>
    </row>
    <row r="583" ht="15" customHeight="1">
      <c r="A583" s="7">
        <v>581</v>
      </c>
      <c r="B583" s="18">
        <v>0.5755</v>
      </c>
      <c r="C583" s="18">
        <v>1.34</v>
      </c>
      <c r="D583" s="16">
        <v>25886.21</v>
      </c>
      <c r="E583" s="18">
        <v>0.8895</v>
      </c>
      <c r="F583" s="18">
        <v>0.087</v>
      </c>
      <c r="G583" s="16">
        <v>3839002.33</v>
      </c>
      <c r="H583" s="16">
        <v>4589726.29</v>
      </c>
      <c r="I583" s="7" t="s">
        <v>125</v>
      </c>
    </row>
    <row r="584" ht="15" customHeight="1">
      <c r="A584" s="8">
        <v>582</v>
      </c>
      <c r="B584" s="19">
        <v>0.7173</v>
      </c>
      <c r="C584" s="19">
        <v>1.0076</v>
      </c>
      <c r="D584" s="17">
        <v>25288.56</v>
      </c>
      <c r="E584" s="19">
        <v>0.9245</v>
      </c>
      <c r="F584" s="19">
        <v>0.0951</v>
      </c>
      <c r="G584" s="17">
        <v>3781216.69</v>
      </c>
      <c r="H584" s="17">
        <v>4524897.21</v>
      </c>
      <c r="I584" s="8" t="s">
        <v>125</v>
      </c>
    </row>
    <row r="585" ht="15" customHeight="1">
      <c r="A585" s="7">
        <v>583</v>
      </c>
      <c r="B585" s="18">
        <v>0.7566</v>
      </c>
      <c r="C585" s="18">
        <v>1.2235</v>
      </c>
      <c r="D585" s="16">
        <v>27552.39</v>
      </c>
      <c r="E585" s="18">
        <v>0.7795</v>
      </c>
      <c r="F585" s="18">
        <v>0.0865</v>
      </c>
      <c r="G585" s="16">
        <v>4043016.19</v>
      </c>
      <c r="H585" s="16">
        <v>4830176.63</v>
      </c>
      <c r="I585" s="7" t="s">
        <v>125</v>
      </c>
    </row>
    <row r="586" ht="15" customHeight="1">
      <c r="A586" s="8">
        <v>584</v>
      </c>
      <c r="B586" s="19">
        <v>0.581</v>
      </c>
      <c r="C586" s="19">
        <v>0.9029</v>
      </c>
      <c r="D586" s="17">
        <v>30759.13</v>
      </c>
      <c r="E586" s="19">
        <v>0.8306</v>
      </c>
      <c r="F586" s="19">
        <v>0.1012</v>
      </c>
      <c r="G586" s="17">
        <v>1930892.73</v>
      </c>
      <c r="H586" s="17">
        <v>2347459.74</v>
      </c>
      <c r="I586" s="8" t="s">
        <v>125</v>
      </c>
    </row>
    <row r="587" ht="15" customHeight="1">
      <c r="A587" s="7">
        <v>585</v>
      </c>
      <c r="B587" s="18">
        <v>0.3679</v>
      </c>
      <c r="C587" s="18">
        <v>1.1715</v>
      </c>
      <c r="D587" s="16">
        <v>24830.04</v>
      </c>
      <c r="E587" s="18">
        <v>0.8756</v>
      </c>
      <c r="F587" s="18">
        <v>0.1111</v>
      </c>
      <c r="G587" s="16">
        <v>1717355.07</v>
      </c>
      <c r="H587" s="16">
        <v>2096421.83</v>
      </c>
      <c r="I587" s="7" t="s">
        <v>125</v>
      </c>
    </row>
    <row r="588" ht="15" customHeight="1">
      <c r="A588" s="8">
        <v>586</v>
      </c>
      <c r="B588" s="19">
        <v>0.5463</v>
      </c>
      <c r="C588" s="19">
        <v>0.7429</v>
      </c>
      <c r="D588" s="17">
        <v>27529.58</v>
      </c>
      <c r="E588" s="19">
        <v>0.8637</v>
      </c>
      <c r="F588" s="19">
        <v>0.1169</v>
      </c>
      <c r="G588" s="17">
        <v>1452888.23</v>
      </c>
      <c r="H588" s="17">
        <v>1786478.6</v>
      </c>
      <c r="I588" s="8" t="s">
        <v>125</v>
      </c>
    </row>
    <row r="589" ht="15" customHeight="1">
      <c r="A589" s="7">
        <v>587</v>
      </c>
      <c r="B589" s="18">
        <v>0.4753</v>
      </c>
      <c r="C589" s="18">
        <v>0.9583</v>
      </c>
      <c r="D589" s="16">
        <v>29193.21</v>
      </c>
      <c r="E589" s="18">
        <v>0.8418</v>
      </c>
      <c r="F589" s="18">
        <v>0.1018</v>
      </c>
      <c r="G589" s="16">
        <v>1593389.37</v>
      </c>
      <c r="H589" s="16">
        <v>1949261.09</v>
      </c>
      <c r="I589" s="7" t="s">
        <v>125</v>
      </c>
    </row>
    <row r="590" ht="15" customHeight="1">
      <c r="A590" s="8">
        <v>588</v>
      </c>
      <c r="B590" s="19">
        <v>0.4475</v>
      </c>
      <c r="C590" s="19">
        <v>1.0484</v>
      </c>
      <c r="D590" s="17">
        <v>25325.97</v>
      </c>
      <c r="E590" s="19">
        <v>0.9015</v>
      </c>
      <c r="F590" s="19">
        <v>0.1172</v>
      </c>
      <c r="G590" s="17">
        <v>2069505.96</v>
      </c>
      <c r="H590" s="17">
        <v>2513643.58</v>
      </c>
      <c r="I590" s="8" t="s">
        <v>125</v>
      </c>
    </row>
    <row r="591" ht="15" customHeight="1">
      <c r="A591" s="7">
        <v>589</v>
      </c>
      <c r="B591" s="18">
        <v>0.7333</v>
      </c>
      <c r="C591" s="18">
        <v>1.1248</v>
      </c>
      <c r="D591" s="16">
        <v>23444.05</v>
      </c>
      <c r="E591" s="18">
        <v>0.8996</v>
      </c>
      <c r="F591" s="18">
        <v>0.1806</v>
      </c>
      <c r="G591" s="16">
        <v>5019851.95</v>
      </c>
      <c r="H591" s="16">
        <v>6026338.38</v>
      </c>
      <c r="I591" s="7" t="s">
        <v>125</v>
      </c>
    </row>
    <row r="592" ht="15" customHeight="1">
      <c r="A592" s="8">
        <v>590</v>
      </c>
      <c r="B592" s="19">
        <v>0.5412</v>
      </c>
      <c r="C592" s="19">
        <v>1.0336</v>
      </c>
      <c r="D592" s="17">
        <v>20579.14</v>
      </c>
      <c r="E592" s="19">
        <v>0.8595</v>
      </c>
      <c r="F592" s="19">
        <v>0.1194</v>
      </c>
      <c r="G592" s="17">
        <v>2663848.64</v>
      </c>
      <c r="H592" s="17">
        <v>3214314.31</v>
      </c>
      <c r="I592" s="8" t="s">
        <v>125</v>
      </c>
    </row>
    <row r="593" ht="15" customHeight="1">
      <c r="A593" s="7">
        <v>591</v>
      </c>
      <c r="B593" s="18">
        <v>0.5809</v>
      </c>
      <c r="C593" s="18">
        <v>1.2294</v>
      </c>
      <c r="D593" s="16">
        <v>34828.24</v>
      </c>
      <c r="E593" s="18">
        <v>0.9259</v>
      </c>
      <c r="F593" s="18">
        <v>0.0565</v>
      </c>
      <c r="G593" s="16">
        <v>3192564.67</v>
      </c>
      <c r="H593" s="16">
        <v>3818404.36</v>
      </c>
      <c r="I593" s="7" t="s">
        <v>125</v>
      </c>
    </row>
    <row r="594" ht="15" customHeight="1">
      <c r="A594" s="8">
        <v>592</v>
      </c>
      <c r="B594" s="19">
        <v>0.451</v>
      </c>
      <c r="C594" s="19">
        <v>0.9575</v>
      </c>
      <c r="D594" s="17">
        <v>29418.81</v>
      </c>
      <c r="E594" s="19">
        <v>0.9623</v>
      </c>
      <c r="F594" s="19">
        <v>0.0769</v>
      </c>
      <c r="G594" s="17">
        <v>1724444.87</v>
      </c>
      <c r="H594" s="17">
        <v>2097553.11</v>
      </c>
      <c r="I594" s="8" t="s">
        <v>125</v>
      </c>
    </row>
    <row r="595" ht="15" customHeight="1">
      <c r="A595" s="7">
        <v>593</v>
      </c>
      <c r="B595" s="18">
        <v>0.6746</v>
      </c>
      <c r="C595" s="18">
        <v>1.0241</v>
      </c>
      <c r="D595" s="16">
        <v>34245.98</v>
      </c>
      <c r="E595" s="18">
        <v>0.9092</v>
      </c>
      <c r="F595" s="18">
        <v>0.1069</v>
      </c>
      <c r="G595" s="16">
        <v>3284093.81</v>
      </c>
      <c r="H595" s="16">
        <v>3946009.17</v>
      </c>
      <c r="I595" s="7" t="s">
        <v>125</v>
      </c>
    </row>
    <row r="596" ht="15" customHeight="1">
      <c r="A596" s="8">
        <v>594</v>
      </c>
      <c r="B596" s="19">
        <v>0.7958</v>
      </c>
      <c r="C596" s="19">
        <v>0.7108</v>
      </c>
      <c r="D596" s="17">
        <v>24035.98</v>
      </c>
      <c r="E596" s="19">
        <v>0.8831</v>
      </c>
      <c r="F596" s="19">
        <v>0.0738</v>
      </c>
      <c r="G596" s="17">
        <v>2478264.18</v>
      </c>
      <c r="H596" s="17">
        <v>2982648.73</v>
      </c>
      <c r="I596" s="8" t="s">
        <v>125</v>
      </c>
    </row>
    <row r="597" ht="15" customHeight="1">
      <c r="A597" s="7">
        <v>595</v>
      </c>
      <c r="B597" s="18">
        <v>0.6034</v>
      </c>
      <c r="C597" s="18">
        <v>0.8422</v>
      </c>
      <c r="D597" s="16">
        <v>21734.13</v>
      </c>
      <c r="E597" s="18">
        <v>0.7921</v>
      </c>
      <c r="F597" s="18">
        <v>0.1045</v>
      </c>
      <c r="G597" s="16">
        <v>1975105.98</v>
      </c>
      <c r="H597" s="16">
        <v>2397935.16</v>
      </c>
      <c r="I597" s="7" t="s">
        <v>125</v>
      </c>
    </row>
    <row r="598" ht="15" customHeight="1">
      <c r="A598" s="8">
        <v>596</v>
      </c>
      <c r="B598" s="19">
        <v>0.5197</v>
      </c>
      <c r="C598" s="19">
        <v>1.0665</v>
      </c>
      <c r="D598" s="17">
        <v>30955.79</v>
      </c>
      <c r="E598" s="19">
        <v>0.9037</v>
      </c>
      <c r="F598" s="19">
        <v>0.1187</v>
      </c>
      <c r="G598" s="17">
        <v>2494004.02</v>
      </c>
      <c r="H598" s="17">
        <v>3016919.65</v>
      </c>
      <c r="I598" s="8" t="s">
        <v>125</v>
      </c>
    </row>
    <row r="599" ht="15" customHeight="1">
      <c r="A599" s="7">
        <v>597</v>
      </c>
      <c r="B599" s="18">
        <v>0.6407</v>
      </c>
      <c r="C599" s="18">
        <v>0.9814</v>
      </c>
      <c r="D599" s="16">
        <v>25631.7</v>
      </c>
      <c r="E599" s="18">
        <v>0.9613</v>
      </c>
      <c r="F599" s="18">
        <v>0.0612</v>
      </c>
      <c r="G599" s="16">
        <v>3105642.82</v>
      </c>
      <c r="H599" s="16">
        <v>3716548.2</v>
      </c>
      <c r="I599" s="7" t="s">
        <v>125</v>
      </c>
    </row>
    <row r="600" ht="15" customHeight="1">
      <c r="A600" s="8">
        <v>598</v>
      </c>
      <c r="B600" s="19">
        <v>0.6948</v>
      </c>
      <c r="C600" s="19">
        <v>1.255</v>
      </c>
      <c r="D600" s="17">
        <v>24755.77</v>
      </c>
      <c r="E600" s="19">
        <v>0.9475</v>
      </c>
      <c r="F600" s="19">
        <v>0.142</v>
      </c>
      <c r="G600" s="17">
        <v>5342273.07</v>
      </c>
      <c r="H600" s="17">
        <v>6389352.06</v>
      </c>
      <c r="I600" s="8" t="s">
        <v>125</v>
      </c>
    </row>
    <row r="601" ht="15" customHeight="1">
      <c r="A601" s="7">
        <v>599</v>
      </c>
      <c r="B601" s="18">
        <v>0.7323</v>
      </c>
      <c r="C601" s="18">
        <v>1.4331</v>
      </c>
      <c r="D601" s="16">
        <v>31508.51</v>
      </c>
      <c r="E601" s="18">
        <v>0.8609</v>
      </c>
      <c r="F601" s="18">
        <v>0.1218</v>
      </c>
      <c r="G601" s="16">
        <v>5554458.6</v>
      </c>
      <c r="H601" s="16">
        <v>6631395.74</v>
      </c>
      <c r="I601" s="7" t="s">
        <v>125</v>
      </c>
    </row>
    <row r="602" ht="15" customHeight="1">
      <c r="A602" s="8">
        <v>600</v>
      </c>
      <c r="B602" s="19">
        <v>0.617</v>
      </c>
      <c r="C602" s="19">
        <v>0.824</v>
      </c>
      <c r="D602" s="17">
        <v>34065.27</v>
      </c>
      <c r="E602" s="19">
        <v>0.8241</v>
      </c>
      <c r="F602" s="19">
        <v>0.1713</v>
      </c>
      <c r="G602" s="17">
        <v>2000737.64</v>
      </c>
      <c r="H602" s="17">
        <v>2450063.13</v>
      </c>
      <c r="I602" s="8" t="s">
        <v>125</v>
      </c>
    </row>
    <row r="603" ht="15" customHeight="1">
      <c r="A603" s="7">
        <v>601</v>
      </c>
      <c r="B603" s="18">
        <v>0.3572</v>
      </c>
      <c r="C603" s="18">
        <v>0.8507</v>
      </c>
      <c r="D603" s="16">
        <v>24956.71</v>
      </c>
      <c r="E603" s="18">
        <v>0.9261</v>
      </c>
      <c r="F603" s="18">
        <v>0.1274</v>
      </c>
      <c r="G603" s="16">
        <v>1039119.16</v>
      </c>
      <c r="H603" s="16">
        <v>1299196.87</v>
      </c>
      <c r="I603" s="7" t="s">
        <v>125</v>
      </c>
    </row>
    <row r="604" ht="15" customHeight="1">
      <c r="A604" s="8">
        <v>602</v>
      </c>
      <c r="B604" s="19">
        <v>0.709</v>
      </c>
      <c r="C604" s="19">
        <v>1.3071</v>
      </c>
      <c r="D604" s="17">
        <v>32208.17</v>
      </c>
      <c r="E604" s="19">
        <v>0.8868</v>
      </c>
      <c r="F604" s="19">
        <v>0.0435</v>
      </c>
      <c r="G604" s="17">
        <v>4293686.87</v>
      </c>
      <c r="H604" s="17">
        <v>5105521.52</v>
      </c>
      <c r="I604" s="8" t="s">
        <v>125</v>
      </c>
    </row>
    <row r="605" ht="15" customHeight="1">
      <c r="A605" s="7">
        <v>603</v>
      </c>
      <c r="B605" s="18">
        <v>0.5686</v>
      </c>
      <c r="C605" s="18">
        <v>1.1399</v>
      </c>
      <c r="D605" s="16">
        <v>29326.29</v>
      </c>
      <c r="E605" s="18">
        <v>0.9072</v>
      </c>
      <c r="F605" s="18">
        <v>0.1203</v>
      </c>
      <c r="G605" s="16">
        <v>3213164.62</v>
      </c>
      <c r="H605" s="16">
        <v>3865892.33</v>
      </c>
      <c r="I605" s="7" t="s">
        <v>125</v>
      </c>
    </row>
    <row r="606" ht="15" customHeight="1">
      <c r="A606" s="8">
        <v>604</v>
      </c>
      <c r="B606" s="19">
        <v>0.6026</v>
      </c>
      <c r="C606" s="19">
        <v>0.9447</v>
      </c>
      <c r="D606" s="17">
        <v>22213.44</v>
      </c>
      <c r="E606" s="19">
        <v>0.9181</v>
      </c>
      <c r="F606" s="19">
        <v>0.1038</v>
      </c>
      <c r="G606" s="17">
        <v>2851467.26</v>
      </c>
      <c r="H606" s="17">
        <v>3431294.78</v>
      </c>
      <c r="I606" s="8" t="s">
        <v>125</v>
      </c>
    </row>
    <row r="607" ht="15" customHeight="1">
      <c r="A607" s="7">
        <v>605</v>
      </c>
      <c r="B607" s="18">
        <v>0.5868</v>
      </c>
      <c r="C607" s="18">
        <v>0.9055</v>
      </c>
      <c r="D607" s="16">
        <v>29643.53</v>
      </c>
      <c r="E607" s="18">
        <v>0.9293</v>
      </c>
      <c r="F607" s="18">
        <v>0.0848</v>
      </c>
      <c r="G607" s="16">
        <v>2316475.88</v>
      </c>
      <c r="H607" s="16">
        <v>2796790.85</v>
      </c>
      <c r="I607" s="7" t="s">
        <v>125</v>
      </c>
    </row>
    <row r="608" ht="15" customHeight="1">
      <c r="A608" s="8">
        <v>606</v>
      </c>
      <c r="B608" s="19">
        <v>0.5835</v>
      </c>
      <c r="C608" s="19">
        <v>1.0654</v>
      </c>
      <c r="D608" s="17">
        <v>32655.47</v>
      </c>
      <c r="E608" s="19">
        <v>0.9494</v>
      </c>
      <c r="F608" s="19">
        <v>0.0883</v>
      </c>
      <c r="G608" s="17">
        <v>2942391.21</v>
      </c>
      <c r="H608" s="17">
        <v>3535794.75</v>
      </c>
      <c r="I608" s="8" t="s">
        <v>125</v>
      </c>
    </row>
    <row r="609" ht="15" customHeight="1">
      <c r="A609" s="7">
        <v>607</v>
      </c>
      <c r="B609" s="18">
        <v>0.5495</v>
      </c>
      <c r="C609" s="18">
        <v>0.8876</v>
      </c>
      <c r="D609" s="16">
        <v>23479.89</v>
      </c>
      <c r="E609" s="18">
        <v>0.8797</v>
      </c>
      <c r="F609" s="18">
        <v>0.0862</v>
      </c>
      <c r="G609" s="16">
        <v>2043058.94</v>
      </c>
      <c r="H609" s="16">
        <v>2473756.34</v>
      </c>
      <c r="I609" s="7" t="s">
        <v>125</v>
      </c>
    </row>
    <row r="610" ht="15" customHeight="1">
      <c r="A610" s="8">
        <v>608</v>
      </c>
      <c r="B610" s="19">
        <v>0.5556</v>
      </c>
      <c r="C610" s="19">
        <v>0.8536</v>
      </c>
      <c r="D610" s="17">
        <v>28835.11</v>
      </c>
      <c r="E610" s="19">
        <v>0.922</v>
      </c>
      <c r="F610" s="19">
        <v>0.0844</v>
      </c>
      <c r="G610" s="17">
        <v>1930351.77</v>
      </c>
      <c r="H610" s="17">
        <v>2341801.06</v>
      </c>
      <c r="I610" s="8" t="s">
        <v>125</v>
      </c>
    </row>
    <row r="611" ht="15" customHeight="1">
      <c r="A611" s="7">
        <v>609</v>
      </c>
      <c r="B611" s="18">
        <v>0.5248</v>
      </c>
      <c r="C611" s="18">
        <v>0.9988</v>
      </c>
      <c r="D611" s="16">
        <v>22165.15</v>
      </c>
      <c r="E611" s="18">
        <v>0.9374</v>
      </c>
      <c r="F611" s="18">
        <v>0.0726</v>
      </c>
      <c r="G611" s="16">
        <v>2471408.27</v>
      </c>
      <c r="H611" s="16">
        <v>2973838.74</v>
      </c>
      <c r="I611" s="7" t="s">
        <v>125</v>
      </c>
    </row>
    <row r="612" ht="15" customHeight="1">
      <c r="A612" s="8">
        <v>610</v>
      </c>
      <c r="B612" s="19">
        <v>0.6736</v>
      </c>
      <c r="C612" s="19">
        <v>0.7603</v>
      </c>
      <c r="D612" s="17">
        <v>29396.24</v>
      </c>
      <c r="E612" s="19">
        <v>0.945</v>
      </c>
      <c r="F612" s="19">
        <v>0.0725</v>
      </c>
      <c r="G612" s="17">
        <v>2195652.27</v>
      </c>
      <c r="H612" s="17">
        <v>2650820.28</v>
      </c>
      <c r="I612" s="8" t="s">
        <v>125</v>
      </c>
    </row>
    <row r="613" ht="15" customHeight="1">
      <c r="A613" s="7">
        <v>611</v>
      </c>
      <c r="B613" s="18">
        <v>0.5573</v>
      </c>
      <c r="C613" s="18">
        <v>1.1213</v>
      </c>
      <c r="D613" s="16">
        <v>31165.37</v>
      </c>
      <c r="E613" s="18">
        <v>0.9125</v>
      </c>
      <c r="F613" s="18">
        <v>0.0731</v>
      </c>
      <c r="G613" s="16">
        <v>2759658.75</v>
      </c>
      <c r="H613" s="16">
        <v>3314951.64</v>
      </c>
      <c r="I613" s="7" t="s">
        <v>125</v>
      </c>
    </row>
    <row r="614" ht="15" customHeight="1">
      <c r="A614" s="8">
        <v>612</v>
      </c>
      <c r="B614" s="19">
        <v>0.5937</v>
      </c>
      <c r="C614" s="19">
        <v>1.4145</v>
      </c>
      <c r="D614" s="17">
        <v>31070.09</v>
      </c>
      <c r="E614" s="19">
        <v>0.9203</v>
      </c>
      <c r="F614" s="19">
        <v>0.1025</v>
      </c>
      <c r="G614" s="17">
        <v>4427802.91</v>
      </c>
      <c r="H614" s="17">
        <v>5291887.35</v>
      </c>
      <c r="I614" s="8" t="s">
        <v>125</v>
      </c>
    </row>
    <row r="615" ht="15" customHeight="1">
      <c r="A615" s="7">
        <v>613</v>
      </c>
      <c r="B615" s="18">
        <v>0.4719</v>
      </c>
      <c r="C615" s="18">
        <v>1.2059</v>
      </c>
      <c r="D615" s="16">
        <v>19600.71</v>
      </c>
      <c r="E615" s="18">
        <v>0.9433</v>
      </c>
      <c r="F615" s="18">
        <v>0.122</v>
      </c>
      <c r="G615" s="16">
        <v>3132461.24</v>
      </c>
      <c r="H615" s="16">
        <v>3768038.68</v>
      </c>
      <c r="I615" s="7" t="s">
        <v>125</v>
      </c>
    </row>
    <row r="616" ht="15" customHeight="1">
      <c r="A616" s="8">
        <v>614</v>
      </c>
      <c r="B616" s="19">
        <v>0.5212</v>
      </c>
      <c r="C616" s="19">
        <v>0.8289</v>
      </c>
      <c r="D616" s="17">
        <v>24065.3</v>
      </c>
      <c r="E616" s="19">
        <v>0.9373</v>
      </c>
      <c r="F616" s="19">
        <v>0.1098</v>
      </c>
      <c r="G616" s="17">
        <v>1942597.7</v>
      </c>
      <c r="H616" s="17">
        <v>2361593.78</v>
      </c>
      <c r="I616" s="8" t="s">
        <v>125</v>
      </c>
    </row>
    <row r="617" ht="15" customHeight="1">
      <c r="A617" s="7">
        <v>615</v>
      </c>
      <c r="B617" s="18">
        <v>0.3911</v>
      </c>
      <c r="C617" s="18">
        <v>0.9437</v>
      </c>
      <c r="D617" s="16">
        <v>29444.52</v>
      </c>
      <c r="E617" s="18">
        <v>0.9388</v>
      </c>
      <c r="F617" s="18">
        <v>0.112</v>
      </c>
      <c r="G617" s="16">
        <v>1347336.15</v>
      </c>
      <c r="H617" s="16">
        <v>1661461.37</v>
      </c>
      <c r="I617" s="7" t="s">
        <v>125</v>
      </c>
    </row>
    <row r="618" ht="15" customHeight="1">
      <c r="A618" s="8">
        <v>616</v>
      </c>
      <c r="B618" s="19">
        <v>0.8409</v>
      </c>
      <c r="C618" s="19">
        <v>0.7737</v>
      </c>
      <c r="D618" s="17">
        <v>26386.86</v>
      </c>
      <c r="E618" s="19">
        <v>0.9407</v>
      </c>
      <c r="F618" s="19">
        <v>0.1221</v>
      </c>
      <c r="G618" s="17">
        <v>3497220.92</v>
      </c>
      <c r="H618" s="17">
        <v>4200982.05</v>
      </c>
      <c r="I618" s="8" t="s">
        <v>125</v>
      </c>
    </row>
    <row r="619" ht="15" customHeight="1">
      <c r="A619" s="7">
        <v>617</v>
      </c>
      <c r="B619" s="18">
        <v>0.7072</v>
      </c>
      <c r="C619" s="18">
        <v>1.1007</v>
      </c>
      <c r="D619" s="16">
        <v>29294.48</v>
      </c>
      <c r="E619" s="18">
        <v>0.9312</v>
      </c>
      <c r="F619" s="18">
        <v>0.096</v>
      </c>
      <c r="G619" s="16">
        <v>4080217.16</v>
      </c>
      <c r="H619" s="16">
        <v>4878674.01</v>
      </c>
      <c r="I619" s="7" t="s">
        <v>125</v>
      </c>
    </row>
    <row r="620" ht="15" customHeight="1">
      <c r="A620" s="8">
        <v>618</v>
      </c>
      <c r="B620" s="19">
        <v>0.6407</v>
      </c>
      <c r="C620" s="19">
        <v>0.8078</v>
      </c>
      <c r="D620" s="17">
        <v>31930.92</v>
      </c>
      <c r="E620" s="19">
        <v>0.8662</v>
      </c>
      <c r="F620" s="19">
        <v>0.0187</v>
      </c>
      <c r="G620" s="17">
        <v>1639348.26</v>
      </c>
      <c r="H620" s="17">
        <v>1982746.88</v>
      </c>
      <c r="I620" s="8" t="s">
        <v>125</v>
      </c>
    </row>
    <row r="621" ht="15" customHeight="1">
      <c r="A621" s="7">
        <v>619</v>
      </c>
      <c r="B621" s="18">
        <v>0.621</v>
      </c>
      <c r="C621" s="18">
        <v>0.8681</v>
      </c>
      <c r="D621" s="16">
        <v>34689.13</v>
      </c>
      <c r="E621" s="18">
        <v>0.9275</v>
      </c>
      <c r="F621" s="18">
        <v>0.0634</v>
      </c>
      <c r="G621" s="16">
        <v>2103699.76</v>
      </c>
      <c r="H621" s="16">
        <v>2540910.44</v>
      </c>
      <c r="I621" s="7" t="s">
        <v>125</v>
      </c>
    </row>
    <row r="622" ht="15" customHeight="1">
      <c r="A622" s="8">
        <v>620</v>
      </c>
      <c r="B622" s="19">
        <v>0.6952</v>
      </c>
      <c r="C622" s="19">
        <v>0.9953</v>
      </c>
      <c r="D622" s="17">
        <v>35482.94</v>
      </c>
      <c r="E622" s="19">
        <v>0.8935</v>
      </c>
      <c r="F622" s="19">
        <v>0.1345</v>
      </c>
      <c r="G622" s="17">
        <v>3340738.76</v>
      </c>
      <c r="H622" s="17">
        <v>4024013.01</v>
      </c>
      <c r="I622" s="8" t="s">
        <v>125</v>
      </c>
    </row>
    <row r="623" ht="15" customHeight="1">
      <c r="A623" s="7">
        <v>621</v>
      </c>
      <c r="B623" s="18">
        <v>0.5532</v>
      </c>
      <c r="C623" s="18">
        <v>0.9018</v>
      </c>
      <c r="D623" s="16">
        <v>23207.65</v>
      </c>
      <c r="E623" s="18">
        <v>0.9145</v>
      </c>
      <c r="F623" s="18">
        <v>0.1261</v>
      </c>
      <c r="G623" s="16">
        <v>2426977.72</v>
      </c>
      <c r="H623" s="16">
        <v>2937467.7</v>
      </c>
      <c r="I623" s="7" t="s">
        <v>125</v>
      </c>
    </row>
    <row r="624" ht="15" customHeight="1">
      <c r="A624" s="8">
        <v>622</v>
      </c>
      <c r="B624" s="19">
        <v>0.5786</v>
      </c>
      <c r="C624" s="19">
        <v>1.1507</v>
      </c>
      <c r="D624" s="17">
        <v>22808.13</v>
      </c>
      <c r="E624" s="19">
        <v>0.8993</v>
      </c>
      <c r="F624" s="19">
        <v>0.0916</v>
      </c>
      <c r="G624" s="17">
        <v>3326782.1</v>
      </c>
      <c r="H624" s="17">
        <v>3987437.48</v>
      </c>
      <c r="I624" s="8" t="s">
        <v>125</v>
      </c>
    </row>
    <row r="625" ht="15" customHeight="1">
      <c r="A625" s="7">
        <v>623</v>
      </c>
      <c r="B625" s="18">
        <v>0.6179</v>
      </c>
      <c r="C625" s="18">
        <v>1.1376</v>
      </c>
      <c r="D625" s="16">
        <v>32921.24</v>
      </c>
      <c r="E625" s="18">
        <v>0.8267</v>
      </c>
      <c r="F625" s="18">
        <v>0.0351</v>
      </c>
      <c r="G625" s="16">
        <v>2576657.58</v>
      </c>
      <c r="H625" s="16">
        <v>3086910.87</v>
      </c>
      <c r="I625" s="7" t="s">
        <v>125</v>
      </c>
    </row>
    <row r="626" ht="15" customHeight="1">
      <c r="A626" s="8">
        <v>624</v>
      </c>
      <c r="B626" s="19">
        <v>0.564</v>
      </c>
      <c r="C626" s="19">
        <v>1.1649</v>
      </c>
      <c r="D626" s="17">
        <v>16339.99</v>
      </c>
      <c r="E626" s="19">
        <v>0.9007</v>
      </c>
      <c r="F626" s="19">
        <v>0.174</v>
      </c>
      <c r="G626" s="17">
        <v>3964003.93</v>
      </c>
      <c r="H626" s="17">
        <v>4768911.23</v>
      </c>
      <c r="I626" s="8" t="s">
        <v>125</v>
      </c>
    </row>
    <row r="627" ht="15" customHeight="1">
      <c r="A627" s="7">
        <v>625</v>
      </c>
      <c r="B627" s="18">
        <v>0.4592</v>
      </c>
      <c r="C627" s="18">
        <v>1.0625</v>
      </c>
      <c r="D627" s="16">
        <v>30170.79</v>
      </c>
      <c r="E627" s="18">
        <v>0.9129</v>
      </c>
      <c r="F627" s="18">
        <v>0.0239</v>
      </c>
      <c r="G627" s="16">
        <v>1695248.67</v>
      </c>
      <c r="H627" s="16">
        <v>2049557.7</v>
      </c>
      <c r="I627" s="7" t="s">
        <v>125</v>
      </c>
    </row>
    <row r="628" ht="15" customHeight="1">
      <c r="A628" s="8">
        <v>626</v>
      </c>
      <c r="B628" s="19">
        <v>0.474</v>
      </c>
      <c r="C628" s="19">
        <v>1.205</v>
      </c>
      <c r="D628" s="17">
        <v>22536.86</v>
      </c>
      <c r="E628" s="19">
        <v>0.8181</v>
      </c>
      <c r="F628" s="19">
        <v>0.094</v>
      </c>
      <c r="G628" s="17">
        <v>2384528.61</v>
      </c>
      <c r="H628" s="17">
        <v>2877955.01</v>
      </c>
      <c r="I628" s="8" t="s">
        <v>125</v>
      </c>
    </row>
    <row r="629" ht="15" customHeight="1">
      <c r="A629" s="7">
        <v>627</v>
      </c>
      <c r="B629" s="18">
        <v>0.6003</v>
      </c>
      <c r="C629" s="18">
        <v>1.2564</v>
      </c>
      <c r="D629" s="16">
        <v>16065.42</v>
      </c>
      <c r="E629" s="18">
        <v>0.9247</v>
      </c>
      <c r="F629" s="18">
        <v>0.1034</v>
      </c>
      <c r="G629" s="16">
        <v>4335373.99</v>
      </c>
      <c r="H629" s="16">
        <v>5179144.04</v>
      </c>
      <c r="I629" s="7" t="s">
        <v>125</v>
      </c>
    </row>
    <row r="630" ht="15" customHeight="1">
      <c r="A630" s="8">
        <v>628</v>
      </c>
      <c r="B630" s="19">
        <v>0.8198</v>
      </c>
      <c r="C630" s="19">
        <v>1.3325</v>
      </c>
      <c r="D630" s="17">
        <v>23335.52</v>
      </c>
      <c r="E630" s="19">
        <v>0.862</v>
      </c>
      <c r="F630" s="19">
        <v>0.0895</v>
      </c>
      <c r="G630" s="17">
        <v>5799382.68</v>
      </c>
      <c r="H630" s="17">
        <v>6899443.91</v>
      </c>
      <c r="I630" s="8" t="s">
        <v>125</v>
      </c>
    </row>
    <row r="631" ht="15" customHeight="1">
      <c r="A631" s="7">
        <v>629</v>
      </c>
      <c r="B631" s="18">
        <v>0.7571</v>
      </c>
      <c r="C631" s="18">
        <v>1.0478</v>
      </c>
      <c r="D631" s="16">
        <v>31281.15</v>
      </c>
      <c r="E631" s="18">
        <v>0.9001</v>
      </c>
      <c r="F631" s="18">
        <v>0.0881</v>
      </c>
      <c r="G631" s="16">
        <v>3885181.79</v>
      </c>
      <c r="H631" s="16">
        <v>4645875.16</v>
      </c>
      <c r="I631" s="7" t="s">
        <v>125</v>
      </c>
    </row>
    <row r="632" ht="15" customHeight="1">
      <c r="A632" s="8">
        <v>630</v>
      </c>
      <c r="B632" s="19">
        <v>0.3165</v>
      </c>
      <c r="C632" s="19">
        <v>0.8777</v>
      </c>
      <c r="D632" s="17">
        <v>19398.56</v>
      </c>
      <c r="E632" s="19">
        <v>0.8137</v>
      </c>
      <c r="F632" s="19">
        <v>0.0354</v>
      </c>
      <c r="G632" s="17">
        <v>586155.15</v>
      </c>
      <c r="H632" s="17">
        <v>750269.5</v>
      </c>
      <c r="I632" s="8" t="s">
        <v>125</v>
      </c>
    </row>
    <row r="633" ht="15" customHeight="1">
      <c r="A633" s="7">
        <v>631</v>
      </c>
      <c r="B633" s="18">
        <v>0.3782</v>
      </c>
      <c r="C633" s="18">
        <v>0.8504</v>
      </c>
      <c r="D633" s="16">
        <v>28610.88</v>
      </c>
      <c r="E633" s="18">
        <v>0.8994</v>
      </c>
      <c r="F633" s="18">
        <v>0.043</v>
      </c>
      <c r="G633" s="16">
        <v>751918.89</v>
      </c>
      <c r="H633" s="16">
        <v>946992.65</v>
      </c>
      <c r="I633" s="7" t="s">
        <v>125</v>
      </c>
    </row>
    <row r="634" ht="15" customHeight="1">
      <c r="A634" s="8">
        <v>632</v>
      </c>
      <c r="B634" s="19">
        <v>0.6607</v>
      </c>
      <c r="C634" s="19">
        <v>0.8747</v>
      </c>
      <c r="D634" s="17">
        <v>30105.59</v>
      </c>
      <c r="E634" s="19">
        <v>0.9307</v>
      </c>
      <c r="F634" s="19">
        <v>0.1043</v>
      </c>
      <c r="G634" s="17">
        <v>2723243.81</v>
      </c>
      <c r="H634" s="17">
        <v>3282458.08</v>
      </c>
      <c r="I634" s="8" t="s">
        <v>125</v>
      </c>
    </row>
    <row r="635" ht="15" customHeight="1">
      <c r="A635" s="7">
        <v>633</v>
      </c>
      <c r="B635" s="18">
        <v>0.4862</v>
      </c>
      <c r="C635" s="18">
        <v>1.0121</v>
      </c>
      <c r="D635" s="16">
        <v>24557.6</v>
      </c>
      <c r="E635" s="18">
        <v>0.9387</v>
      </c>
      <c r="F635" s="18">
        <v>0.0596</v>
      </c>
      <c r="G635" s="16">
        <v>2131357.47</v>
      </c>
      <c r="H635" s="16">
        <v>2570622.94</v>
      </c>
      <c r="I635" s="7" t="s">
        <v>125</v>
      </c>
    </row>
    <row r="636" ht="15" customHeight="1">
      <c r="A636" s="8">
        <v>634</v>
      </c>
      <c r="B636" s="19">
        <v>0.5349</v>
      </c>
      <c r="C636" s="19">
        <v>1.1099</v>
      </c>
      <c r="D636" s="17">
        <v>27672.02</v>
      </c>
      <c r="E636" s="19">
        <v>0.8334</v>
      </c>
      <c r="F636" s="19">
        <v>0.1123</v>
      </c>
      <c r="G636" s="17">
        <v>2517022.97</v>
      </c>
      <c r="H636" s="17">
        <v>3041074.88</v>
      </c>
      <c r="I636" s="8" t="s">
        <v>125</v>
      </c>
    </row>
    <row r="637" ht="15" customHeight="1">
      <c r="A637" s="7">
        <v>635</v>
      </c>
      <c r="B637" s="18">
        <v>0.412</v>
      </c>
      <c r="C637" s="18">
        <v>1.2013</v>
      </c>
      <c r="D637" s="16">
        <v>25421.31</v>
      </c>
      <c r="E637" s="18">
        <v>0.9601</v>
      </c>
      <c r="F637" s="18">
        <v>0.1251</v>
      </c>
      <c r="G637" s="16">
        <v>2499883.3</v>
      </c>
      <c r="H637" s="16">
        <v>3024018.34</v>
      </c>
      <c r="I637" s="7" t="s">
        <v>125</v>
      </c>
    </row>
    <row r="638" ht="15" customHeight="1">
      <c r="A638" s="8">
        <v>636</v>
      </c>
      <c r="B638" s="19">
        <v>0.612</v>
      </c>
      <c r="C638" s="19">
        <v>1.0964</v>
      </c>
      <c r="D638" s="17">
        <v>22818.88</v>
      </c>
      <c r="E638" s="19">
        <v>0.8025</v>
      </c>
      <c r="F638" s="19">
        <v>0.0582</v>
      </c>
      <c r="G638" s="17">
        <v>2714075.64</v>
      </c>
      <c r="H638" s="17">
        <v>3254792.79</v>
      </c>
      <c r="I638" s="8" t="s">
        <v>125</v>
      </c>
    </row>
    <row r="639" ht="15" customHeight="1">
      <c r="A639" s="7">
        <v>637</v>
      </c>
      <c r="B639" s="18">
        <v>0.4297</v>
      </c>
      <c r="C639" s="18">
        <v>0.8659</v>
      </c>
      <c r="D639" s="16">
        <v>20774.31</v>
      </c>
      <c r="E639" s="18">
        <v>0.8389</v>
      </c>
      <c r="F639" s="18">
        <v>0.1012</v>
      </c>
      <c r="G639" s="16">
        <v>1322556.12</v>
      </c>
      <c r="H639" s="16">
        <v>1627527.41</v>
      </c>
      <c r="I639" s="7" t="s">
        <v>125</v>
      </c>
    </row>
    <row r="640" ht="15" customHeight="1">
      <c r="A640" s="8">
        <v>638</v>
      </c>
      <c r="B640" s="19">
        <v>0.7576</v>
      </c>
      <c r="C640" s="19">
        <v>0.7279</v>
      </c>
      <c r="D640" s="17">
        <v>19693.16</v>
      </c>
      <c r="E640" s="19">
        <v>0.8586</v>
      </c>
      <c r="F640" s="19">
        <v>0.0546</v>
      </c>
      <c r="G640" s="17">
        <v>2339439.38</v>
      </c>
      <c r="H640" s="17">
        <v>2812946.66</v>
      </c>
      <c r="I640" s="8" t="s">
        <v>125</v>
      </c>
    </row>
    <row r="641" ht="15" customHeight="1">
      <c r="A641" s="7">
        <v>639</v>
      </c>
      <c r="B641" s="18">
        <v>0.471</v>
      </c>
      <c r="C641" s="18">
        <v>0.8898</v>
      </c>
      <c r="D641" s="16">
        <v>37278.96</v>
      </c>
      <c r="E641" s="18">
        <v>0.8593</v>
      </c>
      <c r="F641" s="18">
        <v>0.1132</v>
      </c>
      <c r="G641" s="16">
        <v>1212326.44</v>
      </c>
      <c r="H641" s="16">
        <v>1504781.89</v>
      </c>
      <c r="I641" s="7" t="s">
        <v>125</v>
      </c>
    </row>
    <row r="642" ht="15" customHeight="1">
      <c r="A642" s="8">
        <v>640</v>
      </c>
      <c r="B642" s="19">
        <v>0.7474</v>
      </c>
      <c r="C642" s="19">
        <v>0.7766</v>
      </c>
      <c r="D642" s="17">
        <v>28314.94</v>
      </c>
      <c r="E642" s="19">
        <v>0.8499</v>
      </c>
      <c r="F642" s="19">
        <v>0.0986</v>
      </c>
      <c r="G642" s="17">
        <v>2419966.57</v>
      </c>
      <c r="H642" s="17">
        <v>2922570.4</v>
      </c>
      <c r="I642" s="8" t="s">
        <v>125</v>
      </c>
    </row>
    <row r="643" ht="15" customHeight="1">
      <c r="A643" s="7">
        <v>641</v>
      </c>
      <c r="B643" s="18">
        <v>0.4207</v>
      </c>
      <c r="C643" s="18">
        <v>0.7892</v>
      </c>
      <c r="D643" s="16">
        <v>36584.45</v>
      </c>
      <c r="E643" s="18">
        <v>0.8812</v>
      </c>
      <c r="F643" s="18">
        <v>0.1128</v>
      </c>
      <c r="G643" s="16">
        <v>724855.85</v>
      </c>
      <c r="H643" s="16">
        <v>929307.26</v>
      </c>
      <c r="I643" s="7" t="s">
        <v>125</v>
      </c>
    </row>
    <row r="644" ht="15" customHeight="1">
      <c r="A644" s="8">
        <v>642</v>
      </c>
      <c r="B644" s="19">
        <v>0.5589</v>
      </c>
      <c r="C644" s="19">
        <v>1.2302</v>
      </c>
      <c r="D644" s="17">
        <v>23831.52</v>
      </c>
      <c r="E644" s="19">
        <v>0.9046</v>
      </c>
      <c r="F644" s="19">
        <v>0.1437</v>
      </c>
      <c r="G644" s="17">
        <v>3785764.51</v>
      </c>
      <c r="H644" s="17">
        <v>4549399</v>
      </c>
      <c r="I644" s="8" t="s">
        <v>125</v>
      </c>
    </row>
    <row r="645" ht="15" customHeight="1">
      <c r="A645" s="7">
        <v>643</v>
      </c>
      <c r="B645" s="18">
        <v>0.6746</v>
      </c>
      <c r="C645" s="18">
        <v>0.7365</v>
      </c>
      <c r="D645" s="16">
        <v>33572.37</v>
      </c>
      <c r="E645" s="18">
        <v>0.9475</v>
      </c>
      <c r="F645" s="18">
        <v>0.0655</v>
      </c>
      <c r="G645" s="16">
        <v>1942074.5</v>
      </c>
      <c r="H645" s="16">
        <v>2351306.77</v>
      </c>
      <c r="I645" s="7" t="s">
        <v>125</v>
      </c>
    </row>
    <row r="646" ht="15" customHeight="1">
      <c r="A646" s="8">
        <v>644</v>
      </c>
      <c r="B646" s="19">
        <v>0.6073</v>
      </c>
      <c r="C646" s="19">
        <v>1.2238</v>
      </c>
      <c r="D646" s="17">
        <v>22063.53</v>
      </c>
      <c r="E646" s="19">
        <v>0.9553</v>
      </c>
      <c r="F646" s="19">
        <v>0.0493</v>
      </c>
      <c r="G646" s="17">
        <v>3877497.43</v>
      </c>
      <c r="H646" s="17">
        <v>4618203.12</v>
      </c>
      <c r="I646" s="8" t="s">
        <v>125</v>
      </c>
    </row>
    <row r="647" ht="15" customHeight="1">
      <c r="A647" s="7">
        <v>645</v>
      </c>
      <c r="B647" s="18">
        <v>0.7168</v>
      </c>
      <c r="C647" s="18">
        <v>0.9199</v>
      </c>
      <c r="D647" s="16">
        <v>26040.94</v>
      </c>
      <c r="E647" s="18">
        <v>0.8495</v>
      </c>
      <c r="F647" s="18">
        <v>0.1072</v>
      </c>
      <c r="G647" s="16">
        <v>3030293.65</v>
      </c>
      <c r="H647" s="16">
        <v>3644403.16</v>
      </c>
      <c r="I647" s="7" t="s">
        <v>125</v>
      </c>
    </row>
    <row r="648" ht="15" customHeight="1">
      <c r="A648" s="8">
        <v>646</v>
      </c>
      <c r="B648" s="19">
        <v>0.5539</v>
      </c>
      <c r="C648" s="19">
        <v>1.1951</v>
      </c>
      <c r="D648" s="17">
        <v>24351.91</v>
      </c>
      <c r="E648" s="19">
        <v>0.8775</v>
      </c>
      <c r="F648" s="19">
        <v>0.07</v>
      </c>
      <c r="G648" s="17">
        <v>3027767.29</v>
      </c>
      <c r="H648" s="17">
        <v>3627928.41</v>
      </c>
      <c r="I648" s="8" t="s">
        <v>125</v>
      </c>
    </row>
    <row r="649" ht="15" customHeight="1">
      <c r="A649" s="7">
        <v>647</v>
      </c>
      <c r="B649" s="18">
        <v>0.4949</v>
      </c>
      <c r="C649" s="18">
        <v>1.196</v>
      </c>
      <c r="D649" s="16">
        <v>25011.5</v>
      </c>
      <c r="E649" s="18">
        <v>0.943</v>
      </c>
      <c r="F649" s="18">
        <v>0.0831</v>
      </c>
      <c r="G649" s="16">
        <v>2916269.34</v>
      </c>
      <c r="H649" s="16">
        <v>3501429.47</v>
      </c>
      <c r="I649" s="7" t="s">
        <v>125</v>
      </c>
    </row>
    <row r="650" ht="15" customHeight="1">
      <c r="A650" s="8">
        <v>648</v>
      </c>
      <c r="B650" s="19">
        <v>0.6095</v>
      </c>
      <c r="C650" s="19">
        <v>0.7672</v>
      </c>
      <c r="D650" s="17">
        <v>26593.96</v>
      </c>
      <c r="E650" s="19">
        <v>0.8993</v>
      </c>
      <c r="F650" s="19">
        <v>0.1106</v>
      </c>
      <c r="G650" s="17">
        <v>1984892.65</v>
      </c>
      <c r="H650" s="17">
        <v>2412444.07</v>
      </c>
      <c r="I650" s="8" t="s">
        <v>125</v>
      </c>
    </row>
    <row r="651" ht="15" customHeight="1">
      <c r="A651" s="7">
        <v>649</v>
      </c>
      <c r="B651" s="18">
        <v>0.6131</v>
      </c>
      <c r="C651" s="18">
        <v>0.9435</v>
      </c>
      <c r="D651" s="16">
        <v>22119.48</v>
      </c>
      <c r="E651" s="18">
        <v>0.9</v>
      </c>
      <c r="F651" s="18">
        <v>0.1252</v>
      </c>
      <c r="G651" s="16">
        <v>2948727.48</v>
      </c>
      <c r="H651" s="16">
        <v>3553002.14</v>
      </c>
      <c r="I651" s="7" t="s">
        <v>125</v>
      </c>
    </row>
    <row r="652" ht="15" customHeight="1">
      <c r="A652" s="8">
        <v>650</v>
      </c>
      <c r="B652" s="19">
        <v>0.6679</v>
      </c>
      <c r="C652" s="19">
        <v>1.1351</v>
      </c>
      <c r="D652" s="17">
        <v>27317.06</v>
      </c>
      <c r="E652" s="19">
        <v>0.8214</v>
      </c>
      <c r="F652" s="19">
        <v>0.1176</v>
      </c>
      <c r="G652" s="17">
        <v>3522194.43</v>
      </c>
      <c r="H652" s="17">
        <v>4229003.94</v>
      </c>
      <c r="I652" s="8" t="s">
        <v>125</v>
      </c>
    </row>
    <row r="653" ht="15" customHeight="1">
      <c r="A653" s="7">
        <v>651</v>
      </c>
      <c r="B653" s="18">
        <v>0.67</v>
      </c>
      <c r="C653" s="18">
        <v>0.9204</v>
      </c>
      <c r="D653" s="16">
        <v>19443.83</v>
      </c>
      <c r="E653" s="18">
        <v>0.8756</v>
      </c>
      <c r="F653" s="18">
        <v>0.1032</v>
      </c>
      <c r="G653" s="16">
        <v>3061238.7</v>
      </c>
      <c r="H653" s="16">
        <v>3677652.3</v>
      </c>
      <c r="I653" s="7" t="s">
        <v>125</v>
      </c>
    </row>
    <row r="654" ht="15" customHeight="1">
      <c r="A654" s="8">
        <v>652</v>
      </c>
      <c r="B654" s="19">
        <v>0.6687</v>
      </c>
      <c r="C654" s="19">
        <v>1.0838</v>
      </c>
      <c r="D654" s="17">
        <v>25039.09</v>
      </c>
      <c r="E654" s="19">
        <v>0.8472</v>
      </c>
      <c r="F654" s="19">
        <v>0.1885</v>
      </c>
      <c r="G654" s="17">
        <v>3970037.11</v>
      </c>
      <c r="H654" s="17">
        <v>4785783.06</v>
      </c>
      <c r="I654" s="8" t="s">
        <v>125</v>
      </c>
    </row>
    <row r="655" ht="15" customHeight="1">
      <c r="A655" s="7">
        <v>653</v>
      </c>
      <c r="B655" s="18">
        <v>0.4079</v>
      </c>
      <c r="C655" s="18">
        <v>1.0763</v>
      </c>
      <c r="D655" s="16">
        <v>31416.15</v>
      </c>
      <c r="E655" s="18">
        <v>0.9279</v>
      </c>
      <c r="F655" s="18">
        <v>0.0826</v>
      </c>
      <c r="G655" s="16">
        <v>1626978.98</v>
      </c>
      <c r="H655" s="16">
        <v>1984705.95</v>
      </c>
      <c r="I655" s="7" t="s">
        <v>125</v>
      </c>
    </row>
    <row r="656" ht="15" customHeight="1">
      <c r="A656" s="8">
        <v>654</v>
      </c>
      <c r="B656" s="19">
        <v>0.6863</v>
      </c>
      <c r="C656" s="19">
        <v>0.9248</v>
      </c>
      <c r="D656" s="17">
        <v>24353.99</v>
      </c>
      <c r="E656" s="19">
        <v>0.8748</v>
      </c>
      <c r="F656" s="19">
        <v>0.0347</v>
      </c>
      <c r="G656" s="17">
        <v>2662829.61</v>
      </c>
      <c r="H656" s="17">
        <v>3187058.37</v>
      </c>
      <c r="I656" s="8" t="s">
        <v>125</v>
      </c>
    </row>
    <row r="657" ht="15" customHeight="1">
      <c r="A657" s="7">
        <v>655</v>
      </c>
      <c r="B657" s="18">
        <v>0.6208</v>
      </c>
      <c r="C657" s="18">
        <v>1.3962</v>
      </c>
      <c r="D657" s="16">
        <v>29436.27</v>
      </c>
      <c r="E657" s="18">
        <v>0.9627</v>
      </c>
      <c r="F657" s="18">
        <v>0.124</v>
      </c>
      <c r="G657" s="16">
        <v>5112120.34</v>
      </c>
      <c r="H657" s="16">
        <v>6109632.62</v>
      </c>
      <c r="I657" s="7" t="s">
        <v>125</v>
      </c>
    </row>
    <row r="658" ht="15" customHeight="1">
      <c r="A658" s="8">
        <v>656</v>
      </c>
      <c r="B658" s="19">
        <v>0.6199</v>
      </c>
      <c r="C658" s="19">
        <v>0.8794</v>
      </c>
      <c r="D658" s="17">
        <v>28010.15</v>
      </c>
      <c r="E658" s="19">
        <v>0.8954</v>
      </c>
      <c r="F658" s="19">
        <v>0.0824</v>
      </c>
      <c r="G658" s="17">
        <v>2314443.89</v>
      </c>
      <c r="H658" s="17">
        <v>2793290.82</v>
      </c>
      <c r="I658" s="8" t="s">
        <v>125</v>
      </c>
    </row>
    <row r="659" ht="15" customHeight="1">
      <c r="A659" s="7">
        <v>657</v>
      </c>
      <c r="B659" s="18">
        <v>0.6967</v>
      </c>
      <c r="C659" s="18">
        <v>0.9793</v>
      </c>
      <c r="D659" s="16">
        <v>26666.51</v>
      </c>
      <c r="E659" s="18">
        <v>0.9103</v>
      </c>
      <c r="F659" s="18">
        <v>0.0834</v>
      </c>
      <c r="G659" s="16">
        <v>3321775.36</v>
      </c>
      <c r="H659" s="16">
        <v>3979358.51</v>
      </c>
      <c r="I659" s="7" t="s">
        <v>125</v>
      </c>
    </row>
    <row r="660" ht="15" customHeight="1">
      <c r="A660" s="8">
        <v>658</v>
      </c>
      <c r="B660" s="19">
        <v>0.6271</v>
      </c>
      <c r="C660" s="19">
        <v>0.7187</v>
      </c>
      <c r="D660" s="17">
        <v>38180.49</v>
      </c>
      <c r="E660" s="19">
        <v>0.9239</v>
      </c>
      <c r="F660" s="19">
        <v>0.1188</v>
      </c>
      <c r="G660" s="17">
        <v>1631829.36</v>
      </c>
      <c r="H660" s="17">
        <v>2001525.2</v>
      </c>
      <c r="I660" s="8" t="s">
        <v>125</v>
      </c>
    </row>
    <row r="661" ht="15" customHeight="1">
      <c r="A661" s="7">
        <v>659</v>
      </c>
      <c r="B661" s="18">
        <v>0.6407</v>
      </c>
      <c r="C661" s="18">
        <v>0.7407</v>
      </c>
      <c r="D661" s="16">
        <v>30721.51</v>
      </c>
      <c r="E661" s="18">
        <v>0.9092</v>
      </c>
      <c r="F661" s="18">
        <v>0.1333</v>
      </c>
      <c r="G661" s="16">
        <v>2038219.12</v>
      </c>
      <c r="H661" s="16">
        <v>2482825.5</v>
      </c>
      <c r="I661" s="7" t="s">
        <v>125</v>
      </c>
    </row>
    <row r="662" ht="15" customHeight="1">
      <c r="A662" s="8">
        <v>660</v>
      </c>
      <c r="B662" s="19">
        <v>0.7178</v>
      </c>
      <c r="C662" s="19">
        <v>1.4544</v>
      </c>
      <c r="D662" s="17">
        <v>33035.88</v>
      </c>
      <c r="E662" s="19">
        <v>0.9361</v>
      </c>
      <c r="F662" s="19">
        <v>0.1389</v>
      </c>
      <c r="G662" s="17">
        <v>6236847.4</v>
      </c>
      <c r="H662" s="17">
        <v>7448193</v>
      </c>
      <c r="I662" s="8" t="s">
        <v>125</v>
      </c>
    </row>
    <row r="663" ht="15" customHeight="1">
      <c r="A663" s="7">
        <v>661</v>
      </c>
      <c r="B663" s="18">
        <v>0.4764</v>
      </c>
      <c r="C663" s="18">
        <v>1.1738</v>
      </c>
      <c r="D663" s="16">
        <v>22783.64</v>
      </c>
      <c r="E663" s="18">
        <v>0.84</v>
      </c>
      <c r="F663" s="18">
        <v>0.0458</v>
      </c>
      <c r="G663" s="16">
        <v>2179823.49</v>
      </c>
      <c r="H663" s="16">
        <v>2623378.38</v>
      </c>
      <c r="I663" s="7" t="s">
        <v>125</v>
      </c>
    </row>
    <row r="664" ht="15" customHeight="1">
      <c r="A664" s="8">
        <v>662</v>
      </c>
      <c r="B664" s="19">
        <v>0.6915</v>
      </c>
      <c r="C664" s="19">
        <v>0.8547</v>
      </c>
      <c r="D664" s="17">
        <v>25442.4</v>
      </c>
      <c r="E664" s="19">
        <v>0.836</v>
      </c>
      <c r="F664" s="19">
        <v>0.0828</v>
      </c>
      <c r="G664" s="17">
        <v>2438866.21</v>
      </c>
      <c r="H664" s="17">
        <v>2939329.33</v>
      </c>
      <c r="I664" s="8" t="s">
        <v>125</v>
      </c>
    </row>
    <row r="665" ht="15" customHeight="1">
      <c r="A665" s="7">
        <v>663</v>
      </c>
      <c r="B665" s="18">
        <v>0.6405</v>
      </c>
      <c r="C665" s="18">
        <v>0.798</v>
      </c>
      <c r="D665" s="16">
        <v>27150.47</v>
      </c>
      <c r="E665" s="18">
        <v>0.8622</v>
      </c>
      <c r="F665" s="18">
        <v>0.1582</v>
      </c>
      <c r="G665" s="16">
        <v>2329883.26</v>
      </c>
      <c r="H665" s="16">
        <v>2833219.67</v>
      </c>
      <c r="I665" s="7" t="s">
        <v>125</v>
      </c>
    </row>
    <row r="666" ht="15" customHeight="1">
      <c r="A666" s="8">
        <v>664</v>
      </c>
      <c r="B666" s="19">
        <v>0.6449</v>
      </c>
      <c r="C666" s="19">
        <v>0.8593</v>
      </c>
      <c r="D666" s="17">
        <v>31981.56</v>
      </c>
      <c r="E666" s="19">
        <v>0.8105</v>
      </c>
      <c r="F666" s="19">
        <v>0.0519</v>
      </c>
      <c r="G666" s="17">
        <v>1780852.54</v>
      </c>
      <c r="H666" s="17">
        <v>2157755.99</v>
      </c>
      <c r="I666" s="8" t="s">
        <v>125</v>
      </c>
    </row>
    <row r="667" ht="15" customHeight="1">
      <c r="A667" s="7">
        <v>665</v>
      </c>
      <c r="B667" s="18">
        <v>0.3887</v>
      </c>
      <c r="C667" s="18">
        <v>1.2545</v>
      </c>
      <c r="D667" s="16">
        <v>32629.78</v>
      </c>
      <c r="E667" s="18">
        <v>0.9263</v>
      </c>
      <c r="F667" s="18">
        <v>0.164</v>
      </c>
      <c r="G667" s="16">
        <v>2275868.92</v>
      </c>
      <c r="H667" s="16">
        <v>2773259.63</v>
      </c>
      <c r="I667" s="7" t="s">
        <v>125</v>
      </c>
    </row>
    <row r="668" ht="15" customHeight="1">
      <c r="A668" s="8">
        <v>666</v>
      </c>
      <c r="B668" s="19">
        <v>0.6663</v>
      </c>
      <c r="C668" s="19">
        <v>0.6812</v>
      </c>
      <c r="D668" s="17">
        <v>31659.03</v>
      </c>
      <c r="E668" s="19">
        <v>0.8775</v>
      </c>
      <c r="F668" s="19">
        <v>0.0722</v>
      </c>
      <c r="G668" s="17">
        <v>1514249.87</v>
      </c>
      <c r="H668" s="17">
        <v>1849516.89</v>
      </c>
      <c r="I668" s="8" t="s">
        <v>125</v>
      </c>
    </row>
    <row r="669" ht="15" customHeight="1">
      <c r="A669" s="7">
        <v>667</v>
      </c>
      <c r="B669" s="18">
        <v>0.7324</v>
      </c>
      <c r="C669" s="18">
        <v>1.2466</v>
      </c>
      <c r="D669" s="16">
        <v>25622.9</v>
      </c>
      <c r="E669" s="18">
        <v>0.8589</v>
      </c>
      <c r="F669" s="18">
        <v>0.098</v>
      </c>
      <c r="G669" s="16">
        <v>4645472.71</v>
      </c>
      <c r="H669" s="16">
        <v>5544871.34</v>
      </c>
      <c r="I669" s="7" t="s">
        <v>125</v>
      </c>
    </row>
    <row r="670" ht="15" customHeight="1">
      <c r="A670" s="8">
        <v>668</v>
      </c>
      <c r="B670" s="19">
        <v>0.7219</v>
      </c>
      <c r="C670" s="19">
        <v>0.8936</v>
      </c>
      <c r="D670" s="17">
        <v>25232.39</v>
      </c>
      <c r="E670" s="19">
        <v>0.8545</v>
      </c>
      <c r="F670" s="19">
        <v>0.1278</v>
      </c>
      <c r="G670" s="17">
        <v>3100231.98</v>
      </c>
      <c r="H670" s="17">
        <v>3733832.12</v>
      </c>
      <c r="I670" s="8" t="s">
        <v>125</v>
      </c>
    </row>
    <row r="671" ht="15" customHeight="1">
      <c r="A671" s="7">
        <v>669</v>
      </c>
      <c r="B671" s="18">
        <v>0.655</v>
      </c>
      <c r="C671" s="18">
        <v>1.0448</v>
      </c>
      <c r="D671" s="16">
        <v>35008.97</v>
      </c>
      <c r="E671" s="18">
        <v>0.948</v>
      </c>
      <c r="F671" s="18">
        <v>0.0672</v>
      </c>
      <c r="G671" s="16">
        <v>3164681.65</v>
      </c>
      <c r="H671" s="16">
        <v>3789897.47</v>
      </c>
      <c r="I671" s="7" t="s">
        <v>125</v>
      </c>
    </row>
    <row r="672" ht="15" customHeight="1">
      <c r="A672" s="8">
        <v>670</v>
      </c>
      <c r="B672" s="19">
        <v>0.7925</v>
      </c>
      <c r="C672" s="19">
        <v>1.0539</v>
      </c>
      <c r="D672" s="17">
        <v>25760.43</v>
      </c>
      <c r="E672" s="19">
        <v>0.7898</v>
      </c>
      <c r="F672" s="19">
        <v>0.1493</v>
      </c>
      <c r="G672" s="17">
        <v>4059792.05</v>
      </c>
      <c r="H672" s="17">
        <v>4876478.14</v>
      </c>
      <c r="I672" s="8" t="s">
        <v>125</v>
      </c>
    </row>
    <row r="673" ht="15" customHeight="1">
      <c r="A673" s="7">
        <v>671</v>
      </c>
      <c r="B673" s="18">
        <v>0.451</v>
      </c>
      <c r="C673" s="18">
        <v>0.7842</v>
      </c>
      <c r="D673" s="16">
        <v>31451.19</v>
      </c>
      <c r="E673" s="18">
        <v>0.9036</v>
      </c>
      <c r="F673" s="18">
        <v>0.105</v>
      </c>
      <c r="G673" s="16">
        <v>1061100.96</v>
      </c>
      <c r="H673" s="16">
        <v>1322952.24</v>
      </c>
      <c r="I673" s="7" t="s">
        <v>125</v>
      </c>
    </row>
    <row r="674" ht="15" customHeight="1">
      <c r="A674" s="8">
        <v>672</v>
      </c>
      <c r="B674" s="19">
        <v>0.6557</v>
      </c>
      <c r="C674" s="19">
        <v>0.8151</v>
      </c>
      <c r="D674" s="17">
        <v>26246.95</v>
      </c>
      <c r="E674" s="19">
        <v>0.8247</v>
      </c>
      <c r="F674" s="19">
        <v>0.1233</v>
      </c>
      <c r="G674" s="17">
        <v>2203034.76</v>
      </c>
      <c r="H674" s="17">
        <v>2673230.7</v>
      </c>
      <c r="I674" s="8" t="s">
        <v>125</v>
      </c>
    </row>
    <row r="675" ht="15" customHeight="1">
      <c r="A675" s="7">
        <v>673</v>
      </c>
      <c r="B675" s="18">
        <v>0.5708</v>
      </c>
      <c r="C675" s="18">
        <v>0.9958</v>
      </c>
      <c r="D675" s="16">
        <v>21461.47</v>
      </c>
      <c r="E675" s="18">
        <v>0.9431</v>
      </c>
      <c r="F675" s="18">
        <v>0.0483</v>
      </c>
      <c r="G675" s="16">
        <v>2689215.63</v>
      </c>
      <c r="H675" s="16">
        <v>3222162.84</v>
      </c>
      <c r="I675" s="7" t="s">
        <v>125</v>
      </c>
    </row>
    <row r="676" ht="15" customHeight="1">
      <c r="A676" s="8">
        <v>674</v>
      </c>
      <c r="B676" s="19">
        <v>0.6024</v>
      </c>
      <c r="C676" s="19">
        <v>0.9834</v>
      </c>
      <c r="D676" s="17">
        <v>28691.99</v>
      </c>
      <c r="E676" s="19">
        <v>0.8115</v>
      </c>
      <c r="F676" s="19">
        <v>0.0706</v>
      </c>
      <c r="G676" s="17">
        <v>2185869.82</v>
      </c>
      <c r="H676" s="17">
        <v>2638615.92</v>
      </c>
      <c r="I676" s="8" t="s">
        <v>125</v>
      </c>
    </row>
    <row r="677" ht="15" customHeight="1">
      <c r="A677" s="7">
        <v>675</v>
      </c>
      <c r="B677" s="18">
        <v>0.718</v>
      </c>
      <c r="C677" s="18">
        <v>1.2229</v>
      </c>
      <c r="D677" s="16">
        <v>28798.85</v>
      </c>
      <c r="E677" s="18">
        <v>0.8863</v>
      </c>
      <c r="F677" s="18">
        <v>0.1149</v>
      </c>
      <c r="G677" s="16">
        <v>4631627.6</v>
      </c>
      <c r="H677" s="16">
        <v>5537640.16</v>
      </c>
      <c r="I677" s="7" t="s">
        <v>125</v>
      </c>
    </row>
    <row r="678" ht="15" customHeight="1">
      <c r="A678" s="8">
        <v>676</v>
      </c>
      <c r="B678" s="19">
        <v>0.5392</v>
      </c>
      <c r="C678" s="19">
        <v>1.0013</v>
      </c>
      <c r="D678" s="17">
        <v>25783.67</v>
      </c>
      <c r="E678" s="19">
        <v>0.7736</v>
      </c>
      <c r="F678" s="19">
        <v>0.1548</v>
      </c>
      <c r="G678" s="17">
        <v>2173659.96</v>
      </c>
      <c r="H678" s="17">
        <v>2646847.5</v>
      </c>
      <c r="I678" s="8" t="s">
        <v>125</v>
      </c>
    </row>
    <row r="679" ht="15" customHeight="1">
      <c r="A679" s="7">
        <v>677</v>
      </c>
      <c r="B679" s="18">
        <v>0.3772</v>
      </c>
      <c r="C679" s="18">
        <v>0.9307</v>
      </c>
      <c r="D679" s="16">
        <v>26409.02</v>
      </c>
      <c r="E679" s="18">
        <v>0.922</v>
      </c>
      <c r="F679" s="18">
        <v>0.1057</v>
      </c>
      <c r="G679" s="16">
        <v>1249231.53</v>
      </c>
      <c r="H679" s="16">
        <v>1543530.35</v>
      </c>
      <c r="I679" s="7" t="s">
        <v>125</v>
      </c>
    </row>
    <row r="680" ht="15" customHeight="1">
      <c r="A680" s="8">
        <v>678</v>
      </c>
      <c r="B680" s="19">
        <v>0.7402</v>
      </c>
      <c r="C680" s="19">
        <v>0.9442</v>
      </c>
      <c r="D680" s="17">
        <v>28105.03</v>
      </c>
      <c r="E680" s="19">
        <v>0.9185</v>
      </c>
      <c r="F680" s="19">
        <v>0.0717</v>
      </c>
      <c r="G680" s="17">
        <v>3356146.51</v>
      </c>
      <c r="H680" s="17">
        <v>4015577.88</v>
      </c>
      <c r="I680" s="8" t="s">
        <v>125</v>
      </c>
    </row>
    <row r="681" ht="15" customHeight="1">
      <c r="A681" s="7">
        <v>679</v>
      </c>
      <c r="B681" s="18">
        <v>0.6993</v>
      </c>
      <c r="C681" s="18">
        <v>0.8881</v>
      </c>
      <c r="D681" s="16">
        <v>25806.14</v>
      </c>
      <c r="E681" s="18">
        <v>0.94</v>
      </c>
      <c r="F681" s="18">
        <v>0.1337</v>
      </c>
      <c r="G681" s="16">
        <v>3367420.21</v>
      </c>
      <c r="H681" s="16">
        <v>4051816.23</v>
      </c>
      <c r="I681" s="7" t="s">
        <v>125</v>
      </c>
    </row>
    <row r="682" ht="15" customHeight="1">
      <c r="A682" s="8">
        <v>680</v>
      </c>
      <c r="B682" s="19">
        <v>0.5856</v>
      </c>
      <c r="C682" s="19">
        <v>1.1557</v>
      </c>
      <c r="D682" s="17">
        <v>28038.68</v>
      </c>
      <c r="E682" s="19">
        <v>0.9118</v>
      </c>
      <c r="F682" s="19">
        <v>0.0648</v>
      </c>
      <c r="G682" s="17">
        <v>3142532.6</v>
      </c>
      <c r="H682" s="17">
        <v>3761699.22</v>
      </c>
      <c r="I682" s="8" t="s">
        <v>125</v>
      </c>
    </row>
    <row r="683" ht="15" customHeight="1">
      <c r="A683" s="7">
        <v>681</v>
      </c>
      <c r="B683" s="18">
        <v>0.5547</v>
      </c>
      <c r="C683" s="18">
        <v>0.7729</v>
      </c>
      <c r="D683" s="16">
        <v>18779.12</v>
      </c>
      <c r="E683" s="18">
        <v>0.8036</v>
      </c>
      <c r="F683" s="18">
        <v>0.0755</v>
      </c>
      <c r="G683" s="16">
        <v>1538412.23</v>
      </c>
      <c r="H683" s="16">
        <v>1876102.44</v>
      </c>
      <c r="I683" s="7" t="s">
        <v>125</v>
      </c>
    </row>
    <row r="684" ht="15" customHeight="1">
      <c r="A684" s="8">
        <v>682</v>
      </c>
      <c r="B684" s="19">
        <v>0.7202</v>
      </c>
      <c r="C684" s="19">
        <v>0.9752</v>
      </c>
      <c r="D684" s="17">
        <v>36144.33</v>
      </c>
      <c r="E684" s="19">
        <v>0.9151</v>
      </c>
      <c r="F684" s="19">
        <v>0.1413</v>
      </c>
      <c r="G684" s="17">
        <v>3554711.96</v>
      </c>
      <c r="H684" s="17">
        <v>4279888.91</v>
      </c>
      <c r="I684" s="8" t="s">
        <v>125</v>
      </c>
    </row>
    <row r="685" ht="15" customHeight="1">
      <c r="A685" s="7">
        <v>683</v>
      </c>
      <c r="B685" s="18">
        <v>0.4089</v>
      </c>
      <c r="C685" s="18">
        <v>0.9288</v>
      </c>
      <c r="D685" s="16">
        <v>24707.28</v>
      </c>
      <c r="E685" s="18">
        <v>0.8731</v>
      </c>
      <c r="F685" s="18">
        <v>0.104</v>
      </c>
      <c r="G685" s="16">
        <v>1355006.6</v>
      </c>
      <c r="H685" s="16">
        <v>1667438.41</v>
      </c>
      <c r="I685" s="7" t="s">
        <v>125</v>
      </c>
    </row>
    <row r="686" ht="15" customHeight="1">
      <c r="A686" s="8">
        <v>684</v>
      </c>
      <c r="B686" s="19">
        <v>0.4336</v>
      </c>
      <c r="C686" s="19">
        <v>0.9966</v>
      </c>
      <c r="D686" s="17">
        <v>26029.59</v>
      </c>
      <c r="E686" s="19">
        <v>0.859</v>
      </c>
      <c r="F686" s="19">
        <v>0.0963</v>
      </c>
      <c r="G686" s="17">
        <v>1580657.68</v>
      </c>
      <c r="H686" s="17">
        <v>1932133.94</v>
      </c>
      <c r="I686" s="8" t="s">
        <v>125</v>
      </c>
    </row>
    <row r="687" ht="15" customHeight="1">
      <c r="A687" s="7">
        <v>685</v>
      </c>
      <c r="B687" s="18">
        <v>0.6892</v>
      </c>
      <c r="C687" s="18">
        <v>1.0424</v>
      </c>
      <c r="D687" s="16">
        <v>26204.96</v>
      </c>
      <c r="E687" s="18">
        <v>0.8648</v>
      </c>
      <c r="F687" s="18">
        <v>0.0617</v>
      </c>
      <c r="G687" s="16">
        <v>3209514.7</v>
      </c>
      <c r="H687" s="16">
        <v>3838943.06</v>
      </c>
      <c r="I687" s="7" t="s">
        <v>125</v>
      </c>
    </row>
    <row r="688" ht="15" customHeight="1">
      <c r="A688" s="8">
        <v>686</v>
      </c>
      <c r="B688" s="19">
        <v>0.7185</v>
      </c>
      <c r="C688" s="19">
        <v>1.1518</v>
      </c>
      <c r="D688" s="17">
        <v>32985.21</v>
      </c>
      <c r="E688" s="19">
        <v>0.8735</v>
      </c>
      <c r="F688" s="19">
        <v>0.0652</v>
      </c>
      <c r="G688" s="17">
        <v>3739258.26</v>
      </c>
      <c r="H688" s="17">
        <v>4464418.7</v>
      </c>
      <c r="I688" s="8" t="s">
        <v>125</v>
      </c>
    </row>
    <row r="689" ht="15" customHeight="1">
      <c r="A689" s="7">
        <v>687</v>
      </c>
      <c r="B689" s="18">
        <v>0.6024</v>
      </c>
      <c r="C689" s="18">
        <v>0.9941</v>
      </c>
      <c r="D689" s="16">
        <v>20983.82</v>
      </c>
      <c r="E689" s="18">
        <v>0.888</v>
      </c>
      <c r="F689" s="18">
        <v>0.1043</v>
      </c>
      <c r="G689" s="16">
        <v>2958628.46</v>
      </c>
      <c r="H689" s="16">
        <v>3557465.04</v>
      </c>
      <c r="I689" s="7" t="s">
        <v>125</v>
      </c>
    </row>
    <row r="690" ht="15" customHeight="1">
      <c r="A690" s="8">
        <v>688</v>
      </c>
      <c r="B690" s="19">
        <v>0.7448</v>
      </c>
      <c r="C690" s="19">
        <v>0.7891</v>
      </c>
      <c r="D690" s="17">
        <v>29475.66</v>
      </c>
      <c r="E690" s="19">
        <v>0.8784</v>
      </c>
      <c r="F690" s="19">
        <v>0.1119</v>
      </c>
      <c r="G690" s="17">
        <v>2621183.67</v>
      </c>
      <c r="H690" s="17">
        <v>3164384.29</v>
      </c>
      <c r="I690" s="8" t="s">
        <v>125</v>
      </c>
    </row>
    <row r="691" ht="15" customHeight="1">
      <c r="A691" s="7">
        <v>689</v>
      </c>
      <c r="B691" s="18">
        <v>0.5064</v>
      </c>
      <c r="C691" s="18">
        <v>0.9349</v>
      </c>
      <c r="D691" s="16">
        <v>25404.83</v>
      </c>
      <c r="E691" s="18">
        <v>0.9198</v>
      </c>
      <c r="F691" s="18">
        <v>0.1219</v>
      </c>
      <c r="G691" s="16">
        <v>2181826.49</v>
      </c>
      <c r="H691" s="16">
        <v>2647521.56</v>
      </c>
      <c r="I691" s="7" t="s">
        <v>125</v>
      </c>
    </row>
    <row r="692" ht="15" customHeight="1">
      <c r="A692" s="8">
        <v>690</v>
      </c>
      <c r="B692" s="19">
        <v>0.4514</v>
      </c>
      <c r="C692" s="19">
        <v>0.9802</v>
      </c>
      <c r="D692" s="17">
        <v>26150.84</v>
      </c>
      <c r="E692" s="19">
        <v>0.9576</v>
      </c>
      <c r="F692" s="19">
        <v>0.1512</v>
      </c>
      <c r="G692" s="17">
        <v>2194844.81</v>
      </c>
      <c r="H692" s="17">
        <v>2671122.04</v>
      </c>
      <c r="I692" s="8" t="s">
        <v>125</v>
      </c>
    </row>
    <row r="693" ht="15" customHeight="1">
      <c r="A693" s="7">
        <v>691</v>
      </c>
      <c r="B693" s="18">
        <v>0.6656</v>
      </c>
      <c r="C693" s="18">
        <v>0.756</v>
      </c>
      <c r="D693" s="16">
        <v>30567.08</v>
      </c>
      <c r="E693" s="18">
        <v>0.9316</v>
      </c>
      <c r="F693" s="18">
        <v>0.1263</v>
      </c>
      <c r="G693" s="16">
        <v>2297549.43</v>
      </c>
      <c r="H693" s="16">
        <v>2787137.47</v>
      </c>
      <c r="I693" s="7" t="s">
        <v>125</v>
      </c>
    </row>
    <row r="694" ht="15" customHeight="1">
      <c r="A694" s="8">
        <v>692</v>
      </c>
      <c r="B694" s="19">
        <v>0.6531</v>
      </c>
      <c r="C694" s="19">
        <v>1.3363</v>
      </c>
      <c r="D694" s="17">
        <v>25365.05</v>
      </c>
      <c r="E694" s="19">
        <v>0.8405</v>
      </c>
      <c r="F694" s="19">
        <v>0.1835</v>
      </c>
      <c r="G694" s="17">
        <v>4913563.08</v>
      </c>
      <c r="H694" s="17">
        <v>5902631.58</v>
      </c>
      <c r="I694" s="8" t="s">
        <v>125</v>
      </c>
    </row>
    <row r="695" ht="15" customHeight="1">
      <c r="A695" s="7">
        <v>693</v>
      </c>
      <c r="B695" s="18">
        <v>0.6154</v>
      </c>
      <c r="C695" s="18">
        <v>0.8885</v>
      </c>
      <c r="D695" s="16">
        <v>34019.48</v>
      </c>
      <c r="E695" s="18">
        <v>0.8923</v>
      </c>
      <c r="F695" s="18">
        <v>0.1268</v>
      </c>
      <c r="G695" s="16">
        <v>2340393.43</v>
      </c>
      <c r="H695" s="16">
        <v>2839058.81</v>
      </c>
      <c r="I695" s="7" t="s">
        <v>125</v>
      </c>
    </row>
    <row r="696" ht="15" customHeight="1">
      <c r="A696" s="8">
        <v>694</v>
      </c>
      <c r="B696" s="19">
        <v>0.6382</v>
      </c>
      <c r="C696" s="19">
        <v>1.0298</v>
      </c>
      <c r="D696" s="17">
        <v>28662.81</v>
      </c>
      <c r="E696" s="19">
        <v>0.8661</v>
      </c>
      <c r="F696" s="19">
        <v>0.1002</v>
      </c>
      <c r="G696" s="17">
        <v>2978581.29</v>
      </c>
      <c r="H696" s="17">
        <v>3581715.69</v>
      </c>
      <c r="I696" s="8" t="s">
        <v>125</v>
      </c>
    </row>
    <row r="697" ht="15" customHeight="1">
      <c r="A697" s="7">
        <v>695</v>
      </c>
      <c r="B697" s="18">
        <v>0.6009</v>
      </c>
      <c r="C697" s="18">
        <v>1.0135</v>
      </c>
      <c r="D697" s="16">
        <v>30115.02</v>
      </c>
      <c r="E697" s="18">
        <v>0.919</v>
      </c>
      <c r="F697" s="18">
        <v>0.0612</v>
      </c>
      <c r="G697" s="16">
        <v>2653561.06</v>
      </c>
      <c r="H697" s="16">
        <v>3185849.17</v>
      </c>
      <c r="I697" s="7" t="s">
        <v>125</v>
      </c>
    </row>
    <row r="698" ht="15" customHeight="1">
      <c r="A698" s="8">
        <v>696</v>
      </c>
      <c r="B698" s="19">
        <v>0.615</v>
      </c>
      <c r="C698" s="19">
        <v>0.6202</v>
      </c>
      <c r="D698" s="17">
        <v>29077</v>
      </c>
      <c r="E698" s="19">
        <v>0.9002</v>
      </c>
      <c r="F698" s="19">
        <v>0.096</v>
      </c>
      <c r="G698" s="17">
        <v>1281010.7</v>
      </c>
      <c r="H698" s="17">
        <v>1579717.84</v>
      </c>
      <c r="I698" s="8" t="s">
        <v>125</v>
      </c>
    </row>
    <row r="699" ht="15" customHeight="1">
      <c r="A699" s="7">
        <v>697</v>
      </c>
      <c r="B699" s="18">
        <v>0.6773</v>
      </c>
      <c r="C699" s="18">
        <v>1.0157</v>
      </c>
      <c r="D699" s="16">
        <v>32304.22</v>
      </c>
      <c r="E699" s="18">
        <v>0.8936</v>
      </c>
      <c r="F699" s="18">
        <v>0.1258</v>
      </c>
      <c r="G699" s="16">
        <v>3357718.66</v>
      </c>
      <c r="H699" s="16">
        <v>4039618.81</v>
      </c>
      <c r="I699" s="7" t="s">
        <v>125</v>
      </c>
    </row>
    <row r="700" ht="15" customHeight="1">
      <c r="A700" s="8">
        <v>698</v>
      </c>
      <c r="B700" s="19">
        <v>0.4949</v>
      </c>
      <c r="C700" s="19">
        <v>1.0229</v>
      </c>
      <c r="D700" s="17">
        <v>28217.35</v>
      </c>
      <c r="E700" s="19">
        <v>0.9629</v>
      </c>
      <c r="F700" s="19">
        <v>0.109</v>
      </c>
      <c r="G700" s="17">
        <v>2429966.04</v>
      </c>
      <c r="H700" s="17">
        <v>2937530.2</v>
      </c>
      <c r="I700" s="8" t="s">
        <v>125</v>
      </c>
    </row>
    <row r="701" ht="15" customHeight="1">
      <c r="A701" s="7">
        <v>699</v>
      </c>
      <c r="B701" s="18">
        <v>0.5576</v>
      </c>
      <c r="C701" s="18">
        <v>0.9816</v>
      </c>
      <c r="D701" s="16">
        <v>25669.53</v>
      </c>
      <c r="E701" s="18">
        <v>0.8686</v>
      </c>
      <c r="F701" s="18">
        <v>0.0933</v>
      </c>
      <c r="G701" s="16">
        <v>2344736.93</v>
      </c>
      <c r="H701" s="16">
        <v>2831660.83</v>
      </c>
      <c r="I701" s="7" t="s">
        <v>125</v>
      </c>
    </row>
    <row r="702" ht="15" customHeight="1">
      <c r="A702" s="8">
        <v>700</v>
      </c>
      <c r="B702" s="19">
        <v>0.822</v>
      </c>
      <c r="C702" s="19">
        <v>1.0224</v>
      </c>
      <c r="D702" s="17">
        <v>31548.85</v>
      </c>
      <c r="E702" s="19">
        <v>0.9544</v>
      </c>
      <c r="F702" s="19">
        <v>0.0597</v>
      </c>
      <c r="G702" s="17">
        <v>4300198.06</v>
      </c>
      <c r="H702" s="17">
        <v>5121064.87</v>
      </c>
      <c r="I702" s="8" t="s">
        <v>125</v>
      </c>
    </row>
    <row r="703" ht="15" customHeight="1">
      <c r="A703" s="7">
        <v>701</v>
      </c>
      <c r="B703" s="18">
        <v>0.4771</v>
      </c>
      <c r="C703" s="18">
        <v>1.0449</v>
      </c>
      <c r="D703" s="16">
        <v>22995.64</v>
      </c>
      <c r="E703" s="18">
        <v>0.8826</v>
      </c>
      <c r="F703" s="18">
        <v>0.0992</v>
      </c>
      <c r="G703" s="16">
        <v>2192727.19</v>
      </c>
      <c r="H703" s="16">
        <v>2653480.53</v>
      </c>
      <c r="I703" s="7" t="s">
        <v>125</v>
      </c>
    </row>
    <row r="704" ht="15" customHeight="1">
      <c r="A704" s="8">
        <v>702</v>
      </c>
      <c r="B704" s="19">
        <v>0.723</v>
      </c>
      <c r="C704" s="19">
        <v>1.067</v>
      </c>
      <c r="D704" s="17">
        <v>27395.45</v>
      </c>
      <c r="E704" s="19">
        <v>0.8566</v>
      </c>
      <c r="F704" s="19">
        <v>0.1192</v>
      </c>
      <c r="G704" s="17">
        <v>3818958.72</v>
      </c>
      <c r="H704" s="17">
        <v>4579969.42</v>
      </c>
      <c r="I704" s="8" t="s">
        <v>125</v>
      </c>
    </row>
    <row r="705" ht="15" customHeight="1">
      <c r="A705" s="7">
        <v>703</v>
      </c>
      <c r="B705" s="18">
        <v>0.8269</v>
      </c>
      <c r="C705" s="18">
        <v>1.069</v>
      </c>
      <c r="D705" s="16">
        <v>29632.79</v>
      </c>
      <c r="E705" s="18">
        <v>0.904</v>
      </c>
      <c r="F705" s="18">
        <v>0.078</v>
      </c>
      <c r="G705" s="16">
        <v>4477301.96</v>
      </c>
      <c r="H705" s="16">
        <v>5337993.36</v>
      </c>
      <c r="I705" s="7" t="s">
        <v>125</v>
      </c>
    </row>
    <row r="706" ht="15" customHeight="1">
      <c r="A706" s="8">
        <v>704</v>
      </c>
      <c r="B706" s="19">
        <v>0.6088</v>
      </c>
      <c r="C706" s="19">
        <v>1.0561</v>
      </c>
      <c r="D706" s="17">
        <v>29776.28</v>
      </c>
      <c r="E706" s="19">
        <v>0.8248</v>
      </c>
      <c r="F706" s="19">
        <v>0.0149</v>
      </c>
      <c r="G706" s="17">
        <v>2231131.44</v>
      </c>
      <c r="H706" s="17">
        <v>2674884.62</v>
      </c>
      <c r="I706" s="8" t="s">
        <v>125</v>
      </c>
    </row>
    <row r="707" ht="15" customHeight="1">
      <c r="A707" s="7">
        <v>705</v>
      </c>
      <c r="B707" s="18">
        <v>0.53</v>
      </c>
      <c r="C707" s="18">
        <v>1.2852</v>
      </c>
      <c r="D707" s="16">
        <v>28765.18</v>
      </c>
      <c r="E707" s="18">
        <v>0.9608</v>
      </c>
      <c r="F707" s="18">
        <v>0.029</v>
      </c>
      <c r="G707" s="16">
        <v>3165467.75</v>
      </c>
      <c r="H707" s="16">
        <v>3774944.25</v>
      </c>
      <c r="I707" s="7" t="s">
        <v>125</v>
      </c>
    </row>
    <row r="708" ht="15" customHeight="1">
      <c r="A708" s="8">
        <v>706</v>
      </c>
      <c r="B708" s="19">
        <v>0.651</v>
      </c>
      <c r="C708" s="19">
        <v>1.0941</v>
      </c>
      <c r="D708" s="17">
        <v>30216.8</v>
      </c>
      <c r="E708" s="19">
        <v>0.9189</v>
      </c>
      <c r="F708" s="19">
        <v>0.1491</v>
      </c>
      <c r="G708" s="17">
        <v>3879783.43</v>
      </c>
      <c r="H708" s="17">
        <v>4665216.73</v>
      </c>
      <c r="I708" s="8" t="s">
        <v>125</v>
      </c>
    </row>
    <row r="709" ht="15" customHeight="1">
      <c r="A709" s="7">
        <v>707</v>
      </c>
      <c r="B709" s="18">
        <v>0.6974</v>
      </c>
      <c r="C709" s="18">
        <v>1.1544</v>
      </c>
      <c r="D709" s="16">
        <v>27248.66</v>
      </c>
      <c r="E709" s="18">
        <v>0.8707</v>
      </c>
      <c r="F709" s="18">
        <v>0.1157</v>
      </c>
      <c r="G709" s="16">
        <v>4102999.3</v>
      </c>
      <c r="H709" s="16">
        <v>4913708.84</v>
      </c>
      <c r="I709" s="7" t="s">
        <v>125</v>
      </c>
    </row>
    <row r="710" ht="15" customHeight="1">
      <c r="A710" s="8">
        <v>708</v>
      </c>
      <c r="B710" s="19">
        <v>0.8135</v>
      </c>
      <c r="C710" s="19">
        <v>0.9945</v>
      </c>
      <c r="D710" s="17">
        <v>21311.51</v>
      </c>
      <c r="E710" s="19">
        <v>0.8451</v>
      </c>
      <c r="F710" s="19">
        <v>0.0688</v>
      </c>
      <c r="G710" s="17">
        <v>3844840.71</v>
      </c>
      <c r="H710" s="17">
        <v>4587992.86</v>
      </c>
      <c r="I710" s="8" t="s">
        <v>125</v>
      </c>
    </row>
    <row r="711" ht="15" customHeight="1">
      <c r="A711" s="7">
        <v>709</v>
      </c>
      <c r="B711" s="18">
        <v>0.7829</v>
      </c>
      <c r="C711" s="18">
        <v>0.9907</v>
      </c>
      <c r="D711" s="16">
        <v>30832.03</v>
      </c>
      <c r="E711" s="18">
        <v>0.9306</v>
      </c>
      <c r="F711" s="18">
        <v>0.1299</v>
      </c>
      <c r="G711" s="16">
        <v>4251968.42</v>
      </c>
      <c r="H711" s="16">
        <v>5097080.32</v>
      </c>
      <c r="I711" s="7" t="s">
        <v>125</v>
      </c>
    </row>
    <row r="712" ht="15" customHeight="1">
      <c r="A712" s="8">
        <v>710</v>
      </c>
      <c r="B712" s="19">
        <v>0.372</v>
      </c>
      <c r="C712" s="19">
        <v>0.9805</v>
      </c>
      <c r="D712" s="17">
        <v>23647.35</v>
      </c>
      <c r="E712" s="19">
        <v>0.8509</v>
      </c>
      <c r="F712" s="19">
        <v>0.135</v>
      </c>
      <c r="G712" s="17">
        <v>1324718.46</v>
      </c>
      <c r="H712" s="17">
        <v>1637559.53</v>
      </c>
      <c r="I712" s="8" t="s">
        <v>125</v>
      </c>
    </row>
    <row r="713" ht="15" customHeight="1">
      <c r="A713" s="7">
        <v>711</v>
      </c>
      <c r="B713" s="18">
        <v>0.5932</v>
      </c>
      <c r="C713" s="18">
        <v>1.1843</v>
      </c>
      <c r="D713" s="16">
        <v>27021.8</v>
      </c>
      <c r="E713" s="18">
        <v>0.8543</v>
      </c>
      <c r="F713" s="18">
        <v>0.0336</v>
      </c>
      <c r="G713" s="16">
        <v>2879271.7</v>
      </c>
      <c r="H713" s="16">
        <v>3440849.64</v>
      </c>
      <c r="I713" s="7" t="s">
        <v>125</v>
      </c>
    </row>
    <row r="714" ht="15" customHeight="1">
      <c r="A714" s="8">
        <v>712</v>
      </c>
      <c r="B714" s="19">
        <v>0.5219</v>
      </c>
      <c r="C714" s="19">
        <v>0.9596</v>
      </c>
      <c r="D714" s="17">
        <v>28402.79</v>
      </c>
      <c r="E714" s="19">
        <v>0.923</v>
      </c>
      <c r="F714" s="19">
        <v>0.0386</v>
      </c>
      <c r="G714" s="17">
        <v>1924595.04</v>
      </c>
      <c r="H714" s="17">
        <v>2322417.13</v>
      </c>
      <c r="I714" s="8" t="s">
        <v>125</v>
      </c>
    </row>
    <row r="715" ht="15" customHeight="1">
      <c r="A715" s="7">
        <v>713</v>
      </c>
      <c r="B715" s="18">
        <v>0.6204</v>
      </c>
      <c r="C715" s="18">
        <v>0.7975</v>
      </c>
      <c r="D715" s="16">
        <v>32126.69</v>
      </c>
      <c r="E715" s="18">
        <v>0.9322</v>
      </c>
      <c r="F715" s="18">
        <v>0.1009</v>
      </c>
      <c r="G715" s="16">
        <v>2075663.1</v>
      </c>
      <c r="H715" s="16">
        <v>2518421.65</v>
      </c>
      <c r="I715" s="7" t="s">
        <v>125</v>
      </c>
    </row>
    <row r="716" ht="15" customHeight="1">
      <c r="A716" s="8">
        <v>714</v>
      </c>
      <c r="B716" s="19">
        <v>0.5647</v>
      </c>
      <c r="C716" s="19">
        <v>1.4351</v>
      </c>
      <c r="D716" s="17">
        <v>27140.53</v>
      </c>
      <c r="E716" s="19">
        <v>0.8651</v>
      </c>
      <c r="F716" s="19">
        <v>0.0688</v>
      </c>
      <c r="G716" s="17">
        <v>3788404.14</v>
      </c>
      <c r="H716" s="17">
        <v>4522678.06</v>
      </c>
      <c r="I716" s="8" t="s">
        <v>125</v>
      </c>
    </row>
    <row r="717" ht="15" customHeight="1">
      <c r="A717" s="7">
        <v>715</v>
      </c>
      <c r="B717" s="18">
        <v>0.6181</v>
      </c>
      <c r="C717" s="18">
        <v>0.771</v>
      </c>
      <c r="D717" s="16">
        <v>25454.72</v>
      </c>
      <c r="E717" s="18">
        <v>0.8885</v>
      </c>
      <c r="F717" s="18">
        <v>0.1044</v>
      </c>
      <c r="G717" s="16">
        <v>2016175.03</v>
      </c>
      <c r="H717" s="16">
        <v>2447392.67</v>
      </c>
      <c r="I717" s="7" t="s">
        <v>125</v>
      </c>
    </row>
    <row r="718" ht="15" customHeight="1">
      <c r="A718" s="8">
        <v>716</v>
      </c>
      <c r="B718" s="19">
        <v>0.411</v>
      </c>
      <c r="C718" s="19">
        <v>1.0306</v>
      </c>
      <c r="D718" s="17">
        <v>29673.51</v>
      </c>
      <c r="E718" s="19">
        <v>0.9301</v>
      </c>
      <c r="F718" s="19">
        <v>0.1866</v>
      </c>
      <c r="G718" s="17">
        <v>1995474.86</v>
      </c>
      <c r="H718" s="17">
        <v>2445748.28</v>
      </c>
      <c r="I718" s="8" t="s">
        <v>125</v>
      </c>
    </row>
    <row r="719" ht="15" customHeight="1">
      <c r="A719" s="7">
        <v>717</v>
      </c>
      <c r="B719" s="18">
        <v>0.5064</v>
      </c>
      <c r="C719" s="18">
        <v>1.2034</v>
      </c>
      <c r="D719" s="16">
        <v>33352.31</v>
      </c>
      <c r="E719" s="18">
        <v>0.9334</v>
      </c>
      <c r="F719" s="18">
        <v>0.1501</v>
      </c>
      <c r="G719" s="16">
        <v>3114561.65</v>
      </c>
      <c r="H719" s="16">
        <v>3761673.71</v>
      </c>
      <c r="I719" s="7" t="s">
        <v>125</v>
      </c>
    </row>
    <row r="720" ht="15" customHeight="1">
      <c r="A720" s="8">
        <v>718</v>
      </c>
      <c r="B720" s="19">
        <v>0.6557</v>
      </c>
      <c r="C720" s="19">
        <v>0.7681</v>
      </c>
      <c r="D720" s="17">
        <v>26968.08</v>
      </c>
      <c r="E720" s="19">
        <v>0.9223</v>
      </c>
      <c r="F720" s="19">
        <v>0.1193</v>
      </c>
      <c r="G720" s="17">
        <v>2342944.49</v>
      </c>
      <c r="H720" s="17">
        <v>2837493.27</v>
      </c>
      <c r="I720" s="8" t="s">
        <v>125</v>
      </c>
    </row>
    <row r="721" ht="15" customHeight="1">
      <c r="A721" s="7">
        <v>719</v>
      </c>
      <c r="B721" s="18">
        <v>0.5375</v>
      </c>
      <c r="C721" s="18">
        <v>1.0061</v>
      </c>
      <c r="D721" s="16">
        <v>28375.83</v>
      </c>
      <c r="E721" s="18">
        <v>0.779</v>
      </c>
      <c r="F721" s="18">
        <v>0.0543</v>
      </c>
      <c r="G721" s="16">
        <v>1708084.61</v>
      </c>
      <c r="H721" s="16">
        <v>2072367.31</v>
      </c>
      <c r="I721" s="7" t="s">
        <v>125</v>
      </c>
    </row>
    <row r="722" ht="15" customHeight="1">
      <c r="A722" s="8">
        <v>720</v>
      </c>
      <c r="B722" s="19">
        <v>0.7223</v>
      </c>
      <c r="C722" s="19">
        <v>1.0501</v>
      </c>
      <c r="D722" s="17">
        <v>28664.06</v>
      </c>
      <c r="E722" s="19">
        <v>0.8936</v>
      </c>
      <c r="F722" s="19">
        <v>0.09</v>
      </c>
      <c r="G722" s="17">
        <v>3714388.17</v>
      </c>
      <c r="H722" s="17">
        <v>4444879.99</v>
      </c>
      <c r="I722" s="8" t="s">
        <v>125</v>
      </c>
    </row>
    <row r="723" ht="15" customHeight="1">
      <c r="A723" s="7">
        <v>721</v>
      </c>
      <c r="B723" s="18">
        <v>0.5018</v>
      </c>
      <c r="C723" s="18">
        <v>1.2314</v>
      </c>
      <c r="D723" s="16">
        <v>30527.65</v>
      </c>
      <c r="E723" s="18">
        <v>0.8795</v>
      </c>
      <c r="F723" s="18">
        <v>0.082</v>
      </c>
      <c r="G723" s="16">
        <v>2634100.57</v>
      </c>
      <c r="H723" s="16">
        <v>3170063.01</v>
      </c>
      <c r="I723" s="7" t="s">
        <v>125</v>
      </c>
    </row>
    <row r="724" ht="15" customHeight="1">
      <c r="A724" s="8">
        <v>722</v>
      </c>
      <c r="B724" s="19">
        <v>0.7224</v>
      </c>
      <c r="C724" s="19">
        <v>0.7577</v>
      </c>
      <c r="D724" s="17">
        <v>28987.66</v>
      </c>
      <c r="E724" s="19">
        <v>0.8655</v>
      </c>
      <c r="F724" s="19">
        <v>0.1335</v>
      </c>
      <c r="G724" s="17">
        <v>2418326.06</v>
      </c>
      <c r="H724" s="17">
        <v>2931402.07</v>
      </c>
      <c r="I724" s="8" t="s">
        <v>125</v>
      </c>
    </row>
    <row r="725" ht="15" customHeight="1">
      <c r="A725" s="7">
        <v>723</v>
      </c>
      <c r="B725" s="18">
        <v>0.4633</v>
      </c>
      <c r="C725" s="18">
        <v>1.1055</v>
      </c>
      <c r="D725" s="16">
        <v>41510.4</v>
      </c>
      <c r="E725" s="18">
        <v>0.7888</v>
      </c>
      <c r="F725" s="18">
        <v>0.1509</v>
      </c>
      <c r="G725" s="16">
        <v>1565652.11</v>
      </c>
      <c r="H725" s="16">
        <v>1932799.2</v>
      </c>
      <c r="I725" s="7" t="s">
        <v>125</v>
      </c>
    </row>
    <row r="726" ht="15" customHeight="1">
      <c r="A726" s="8">
        <v>724</v>
      </c>
      <c r="B726" s="19">
        <v>0.5471</v>
      </c>
      <c r="C726" s="19">
        <v>1.0806</v>
      </c>
      <c r="D726" s="17">
        <v>29401.06</v>
      </c>
      <c r="E726" s="19">
        <v>0.8413</v>
      </c>
      <c r="F726" s="19">
        <v>0.0895</v>
      </c>
      <c r="G726" s="17">
        <v>2372280.51</v>
      </c>
      <c r="H726" s="17">
        <v>2863885.52</v>
      </c>
      <c r="I726" s="8" t="s">
        <v>125</v>
      </c>
    </row>
    <row r="727" ht="15" customHeight="1">
      <c r="A727" s="7">
        <v>725</v>
      </c>
      <c r="B727" s="18">
        <v>0.5821</v>
      </c>
      <c r="C727" s="18">
        <v>1.5091</v>
      </c>
      <c r="D727" s="16">
        <v>26826.25</v>
      </c>
      <c r="E727" s="18">
        <v>0.8762</v>
      </c>
      <c r="F727" s="18">
        <v>0.1814</v>
      </c>
      <c r="G727" s="16">
        <v>5150304.16</v>
      </c>
      <c r="H727" s="16">
        <v>6182976.87</v>
      </c>
      <c r="I727" s="7" t="s">
        <v>125</v>
      </c>
    </row>
    <row r="728" ht="15" customHeight="1">
      <c r="A728" s="8">
        <v>726</v>
      </c>
      <c r="B728" s="19">
        <v>0.5588</v>
      </c>
      <c r="C728" s="19">
        <v>0.9712</v>
      </c>
      <c r="D728" s="17">
        <v>24814.66</v>
      </c>
      <c r="E728" s="19">
        <v>0.8743</v>
      </c>
      <c r="F728" s="19">
        <v>0.0416</v>
      </c>
      <c r="G728" s="17">
        <v>2131522.15</v>
      </c>
      <c r="H728" s="17">
        <v>2565744.15</v>
      </c>
      <c r="I728" s="8" t="s">
        <v>125</v>
      </c>
    </row>
    <row r="729" ht="15" customHeight="1">
      <c r="A729" s="7">
        <v>727</v>
      </c>
      <c r="B729" s="18">
        <v>0.6131</v>
      </c>
      <c r="C729" s="18">
        <v>1.2492</v>
      </c>
      <c r="D729" s="16">
        <v>26298.75</v>
      </c>
      <c r="E729" s="18">
        <v>0.9018</v>
      </c>
      <c r="F729" s="18">
        <v>0.0232</v>
      </c>
      <c r="G729" s="16">
        <v>3448002.23</v>
      </c>
      <c r="H729" s="16">
        <v>4103678.9</v>
      </c>
      <c r="I729" s="7" t="s">
        <v>125</v>
      </c>
    </row>
    <row r="730" ht="15" customHeight="1">
      <c r="A730" s="8">
        <v>728</v>
      </c>
      <c r="B730" s="19">
        <v>0.6976</v>
      </c>
      <c r="C730" s="19">
        <v>0.9809</v>
      </c>
      <c r="D730" s="17">
        <v>21043.46</v>
      </c>
      <c r="E730" s="19">
        <v>0.9071</v>
      </c>
      <c r="F730" s="19">
        <v>0.1389</v>
      </c>
      <c r="G730" s="17">
        <v>3831989.4</v>
      </c>
      <c r="H730" s="17">
        <v>4601088.47</v>
      </c>
      <c r="I730" s="8" t="s">
        <v>125</v>
      </c>
    </row>
    <row r="731" ht="15" customHeight="1">
      <c r="A731" s="7">
        <v>729</v>
      </c>
      <c r="B731" s="18">
        <v>0.6018</v>
      </c>
      <c r="C731" s="18">
        <v>0.9312</v>
      </c>
      <c r="D731" s="16">
        <v>20109.39</v>
      </c>
      <c r="E731" s="18">
        <v>0.788</v>
      </c>
      <c r="F731" s="18">
        <v>0.1121</v>
      </c>
      <c r="G731" s="16">
        <v>2349096.94</v>
      </c>
      <c r="H731" s="16">
        <v>2840612.72</v>
      </c>
      <c r="I731" s="7" t="s">
        <v>125</v>
      </c>
    </row>
    <row r="732" ht="15" customHeight="1">
      <c r="A732" s="8">
        <v>730</v>
      </c>
      <c r="B732" s="19">
        <v>0.5056</v>
      </c>
      <c r="C732" s="19">
        <v>0.7134</v>
      </c>
      <c r="D732" s="17">
        <v>34202.18</v>
      </c>
      <c r="E732" s="19">
        <v>0.945</v>
      </c>
      <c r="F732" s="19">
        <v>0.0868</v>
      </c>
      <c r="G732" s="17">
        <v>1074549.56</v>
      </c>
      <c r="H732" s="17">
        <v>1335804.92</v>
      </c>
      <c r="I732" s="8" t="s">
        <v>125</v>
      </c>
    </row>
    <row r="733" ht="15" customHeight="1">
      <c r="A733" s="7">
        <v>731</v>
      </c>
      <c r="B733" s="18">
        <v>0.4291</v>
      </c>
      <c r="C733" s="18">
        <v>1.3148</v>
      </c>
      <c r="D733" s="16">
        <v>31327.26</v>
      </c>
      <c r="E733" s="18">
        <v>0.8669</v>
      </c>
      <c r="F733" s="18">
        <v>0.1149</v>
      </c>
      <c r="G733" s="16">
        <v>2374477.81</v>
      </c>
      <c r="H733" s="16">
        <v>2874774.63</v>
      </c>
      <c r="I733" s="7" t="s">
        <v>125</v>
      </c>
    </row>
    <row r="734" ht="15" customHeight="1">
      <c r="A734" s="8">
        <v>732</v>
      </c>
      <c r="B734" s="19">
        <v>0.7016</v>
      </c>
      <c r="C734" s="19">
        <v>0.8932</v>
      </c>
      <c r="D734" s="17">
        <v>29883.12</v>
      </c>
      <c r="E734" s="19">
        <v>0.8113</v>
      </c>
      <c r="F734" s="19">
        <v>0.0783</v>
      </c>
      <c r="G734" s="17">
        <v>2383721.11</v>
      </c>
      <c r="H734" s="17">
        <v>2874000.62</v>
      </c>
      <c r="I734" s="8" t="s">
        <v>125</v>
      </c>
    </row>
    <row r="735" ht="15" customHeight="1">
      <c r="A735" s="7">
        <v>733</v>
      </c>
      <c r="B735" s="18">
        <v>0.4819</v>
      </c>
      <c r="C735" s="18">
        <v>1.2521</v>
      </c>
      <c r="D735" s="16">
        <v>21376.83</v>
      </c>
      <c r="E735" s="18">
        <v>0.8799</v>
      </c>
      <c r="F735" s="18">
        <v>0.1168</v>
      </c>
      <c r="G735" s="16">
        <v>3006190.01</v>
      </c>
      <c r="H735" s="16">
        <v>3617836.34</v>
      </c>
      <c r="I735" s="7" t="s">
        <v>125</v>
      </c>
    </row>
    <row r="736" ht="15" customHeight="1">
      <c r="A736" s="8">
        <v>734</v>
      </c>
      <c r="B736" s="19">
        <v>0.6197</v>
      </c>
      <c r="C736" s="19">
        <v>1.0715</v>
      </c>
      <c r="D736" s="17">
        <v>28141.46</v>
      </c>
      <c r="E736" s="19">
        <v>0.9665</v>
      </c>
      <c r="F736" s="19">
        <v>0.0969</v>
      </c>
      <c r="G736" s="17">
        <v>3510121.71</v>
      </c>
      <c r="H736" s="17">
        <v>4206869.7</v>
      </c>
      <c r="I736" s="8" t="s">
        <v>125</v>
      </c>
    </row>
    <row r="737" ht="15" customHeight="1">
      <c r="A737" s="7">
        <v>735</v>
      </c>
      <c r="B737" s="18">
        <v>0.5533</v>
      </c>
      <c r="C737" s="18">
        <v>0.9946</v>
      </c>
      <c r="D737" s="16">
        <v>26837.36</v>
      </c>
      <c r="E737" s="18">
        <v>0.8981</v>
      </c>
      <c r="F737" s="18">
        <v>0.1358</v>
      </c>
      <c r="G737" s="16">
        <v>2654188.91</v>
      </c>
      <c r="H737" s="16">
        <v>3210047.8</v>
      </c>
      <c r="I737" s="7" t="s">
        <v>125</v>
      </c>
    </row>
    <row r="738" ht="15" customHeight="1">
      <c r="A738" s="8">
        <v>736</v>
      </c>
      <c r="B738" s="19">
        <v>0.583</v>
      </c>
      <c r="C738" s="19">
        <v>0.4443</v>
      </c>
      <c r="D738" s="17">
        <v>33925.98</v>
      </c>
      <c r="E738" s="19">
        <v>0.8164</v>
      </c>
      <c r="F738" s="19">
        <v>0.0874</v>
      </c>
      <c r="G738" s="17">
        <v>144009.13</v>
      </c>
      <c r="H738" s="17">
        <v>239871.94</v>
      </c>
      <c r="I738" s="8" t="s">
        <v>125</v>
      </c>
    </row>
    <row r="739" ht="15" customHeight="1">
      <c r="A739" s="7">
        <v>737</v>
      </c>
      <c r="B739" s="18">
        <v>0.4072</v>
      </c>
      <c r="C739" s="18">
        <v>1.2779</v>
      </c>
      <c r="D739" s="16">
        <v>28565.07</v>
      </c>
      <c r="E739" s="18">
        <v>0.8143</v>
      </c>
      <c r="F739" s="18">
        <v>0.1441</v>
      </c>
      <c r="G739" s="16">
        <v>2090062.87</v>
      </c>
      <c r="H739" s="16">
        <v>2546222.8</v>
      </c>
      <c r="I739" s="7" t="s">
        <v>125</v>
      </c>
    </row>
    <row r="740" ht="15" customHeight="1">
      <c r="A740" s="8">
        <v>738</v>
      </c>
      <c r="B740" s="19">
        <v>0.483</v>
      </c>
      <c r="C740" s="19">
        <v>1.0465</v>
      </c>
      <c r="D740" s="17">
        <v>27029.96</v>
      </c>
      <c r="E740" s="19">
        <v>0.8719</v>
      </c>
      <c r="F740" s="19">
        <v>0.1157</v>
      </c>
      <c r="G740" s="17">
        <v>2144938.33</v>
      </c>
      <c r="H740" s="17">
        <v>2602787.74</v>
      </c>
      <c r="I740" s="8" t="s">
        <v>125</v>
      </c>
    </row>
    <row r="741" ht="15" customHeight="1">
      <c r="A741" s="7">
        <v>739</v>
      </c>
      <c r="B741" s="18">
        <v>0.6605</v>
      </c>
      <c r="C741" s="18">
        <v>0.9847</v>
      </c>
      <c r="D741" s="16">
        <v>25445.66</v>
      </c>
      <c r="E741" s="18">
        <v>0.8978</v>
      </c>
      <c r="F741" s="18">
        <v>0.1225</v>
      </c>
      <c r="G741" s="16">
        <v>3313684.51</v>
      </c>
      <c r="H741" s="16">
        <v>3984092.35</v>
      </c>
      <c r="I741" s="7" t="s">
        <v>125</v>
      </c>
    </row>
    <row r="742" ht="15" customHeight="1">
      <c r="A742" s="8">
        <v>740</v>
      </c>
      <c r="B742" s="19">
        <v>0.7198</v>
      </c>
      <c r="C742" s="19">
        <v>1.0685</v>
      </c>
      <c r="D742" s="17">
        <v>26343.6</v>
      </c>
      <c r="E742" s="19">
        <v>0.9546</v>
      </c>
      <c r="F742" s="19">
        <v>0.1386</v>
      </c>
      <c r="G742" s="17">
        <v>4549399.03</v>
      </c>
      <c r="H742" s="17">
        <v>5450944.12</v>
      </c>
      <c r="I742" s="8" t="s">
        <v>125</v>
      </c>
    </row>
    <row r="743" ht="15" customHeight="1">
      <c r="A743" s="7">
        <v>741</v>
      </c>
      <c r="B743" s="18">
        <v>0.721</v>
      </c>
      <c r="C743" s="18">
        <v>1.2673</v>
      </c>
      <c r="D743" s="16">
        <v>27256.82</v>
      </c>
      <c r="E743" s="18">
        <v>0.8769</v>
      </c>
      <c r="F743" s="18">
        <v>0.0006</v>
      </c>
      <c r="G743" s="16">
        <v>3992690.2</v>
      </c>
      <c r="H743" s="16">
        <v>4731613.01</v>
      </c>
      <c r="I743" s="7" t="s">
        <v>125</v>
      </c>
    </row>
    <row r="744" ht="15" customHeight="1">
      <c r="A744" s="8">
        <v>742</v>
      </c>
      <c r="B744" s="19">
        <v>0.4829</v>
      </c>
      <c r="C744" s="19">
        <v>1.1375</v>
      </c>
      <c r="D744" s="17">
        <v>25898.51</v>
      </c>
      <c r="E744" s="19">
        <v>0.9154</v>
      </c>
      <c r="F744" s="19">
        <v>0.0653</v>
      </c>
      <c r="G744" s="17">
        <v>2403883.95</v>
      </c>
      <c r="H744" s="17">
        <v>2892916.41</v>
      </c>
      <c r="I744" s="8" t="s">
        <v>125</v>
      </c>
    </row>
    <row r="745" ht="15" customHeight="1">
      <c r="A745" s="7">
        <v>743</v>
      </c>
      <c r="B745" s="18">
        <v>0.7469</v>
      </c>
      <c r="C745" s="18">
        <v>0.852</v>
      </c>
      <c r="D745" s="16">
        <v>25741.99</v>
      </c>
      <c r="E745" s="18">
        <v>0.9327</v>
      </c>
      <c r="F745" s="18">
        <v>0.0888</v>
      </c>
      <c r="G745" s="16">
        <v>3182515.91</v>
      </c>
      <c r="H745" s="16">
        <v>3817187.55</v>
      </c>
      <c r="I745" s="7" t="s">
        <v>125</v>
      </c>
    </row>
    <row r="746" ht="15" customHeight="1">
      <c r="A746" s="8">
        <v>744</v>
      </c>
      <c r="B746" s="19">
        <v>0.5151</v>
      </c>
      <c r="C746" s="19">
        <v>0.8976</v>
      </c>
      <c r="D746" s="17">
        <v>37052.75</v>
      </c>
      <c r="E746" s="19">
        <v>0.9148</v>
      </c>
      <c r="F746" s="19">
        <v>0.1189</v>
      </c>
      <c r="G746" s="17">
        <v>1716626.92</v>
      </c>
      <c r="H746" s="17">
        <v>2101283.05</v>
      </c>
      <c r="I746" s="8" t="s">
        <v>125</v>
      </c>
    </row>
    <row r="747" ht="15" customHeight="1">
      <c r="A747" s="7">
        <v>745</v>
      </c>
      <c r="B747" s="18">
        <v>0.6376</v>
      </c>
      <c r="C747" s="18">
        <v>1.1241</v>
      </c>
      <c r="D747" s="16">
        <v>32126.05</v>
      </c>
      <c r="E747" s="18">
        <v>0.8723</v>
      </c>
      <c r="F747" s="18">
        <v>0.0882</v>
      </c>
      <c r="G747" s="16">
        <v>3213136.31</v>
      </c>
      <c r="H747" s="16">
        <v>3854547.63</v>
      </c>
      <c r="I747" s="7" t="s">
        <v>125</v>
      </c>
    </row>
    <row r="748" ht="15" customHeight="1">
      <c r="A748" s="8">
        <v>746</v>
      </c>
      <c r="B748" s="19">
        <v>0.4501</v>
      </c>
      <c r="C748" s="19">
        <v>1.0312</v>
      </c>
      <c r="D748" s="17">
        <v>28760.89</v>
      </c>
      <c r="E748" s="19">
        <v>0.9667</v>
      </c>
      <c r="F748" s="19">
        <v>0.1268</v>
      </c>
      <c r="G748" s="17">
        <v>2201343.6</v>
      </c>
      <c r="H748" s="17">
        <v>2673032.62</v>
      </c>
      <c r="I748" s="8" t="s">
        <v>125</v>
      </c>
    </row>
    <row r="749" ht="15" customHeight="1">
      <c r="A749" s="7">
        <v>747</v>
      </c>
      <c r="B749" s="18">
        <v>0.4367</v>
      </c>
      <c r="C749" s="18">
        <v>0.9714</v>
      </c>
      <c r="D749" s="16">
        <v>29575.83</v>
      </c>
      <c r="E749" s="18">
        <v>0.9048</v>
      </c>
      <c r="F749" s="18">
        <v>0.0834</v>
      </c>
      <c r="G749" s="16">
        <v>1516758.05</v>
      </c>
      <c r="H749" s="16">
        <v>1854703.81</v>
      </c>
      <c r="I749" s="7" t="s">
        <v>125</v>
      </c>
    </row>
    <row r="750" ht="15" customHeight="1">
      <c r="A750" s="8">
        <v>748</v>
      </c>
      <c r="B750" s="19">
        <v>0.7079</v>
      </c>
      <c r="C750" s="19">
        <v>1.1673</v>
      </c>
      <c r="D750" s="17">
        <v>37286.6</v>
      </c>
      <c r="E750" s="19">
        <v>0.8881</v>
      </c>
      <c r="F750" s="19">
        <v>0.1111</v>
      </c>
      <c r="G750" s="17">
        <v>4009406.38</v>
      </c>
      <c r="H750" s="17">
        <v>4804264.6</v>
      </c>
      <c r="I750" s="8" t="s">
        <v>125</v>
      </c>
    </row>
    <row r="751" ht="15" customHeight="1">
      <c r="A751" s="7">
        <v>749</v>
      </c>
      <c r="B751" s="18">
        <v>0.5945</v>
      </c>
      <c r="C751" s="18">
        <v>0.9052</v>
      </c>
      <c r="D751" s="16">
        <v>29613.5</v>
      </c>
      <c r="E751" s="18">
        <v>0.8683</v>
      </c>
      <c r="F751" s="18">
        <v>0.1877</v>
      </c>
      <c r="G751" s="16">
        <v>2609455.71</v>
      </c>
      <c r="H751" s="16">
        <v>3174151.88</v>
      </c>
      <c r="I751" s="7" t="s">
        <v>125</v>
      </c>
    </row>
    <row r="752" ht="15" customHeight="1">
      <c r="A752" s="8">
        <v>750</v>
      </c>
      <c r="B752" s="19">
        <v>0.5891</v>
      </c>
      <c r="C752" s="19">
        <v>0.9438</v>
      </c>
      <c r="D752" s="17">
        <v>33586.4</v>
      </c>
      <c r="E752" s="19">
        <v>0.9171</v>
      </c>
      <c r="F752" s="19">
        <v>0.0983</v>
      </c>
      <c r="G752" s="17">
        <v>2378833.66</v>
      </c>
      <c r="H752" s="17">
        <v>2875395.37</v>
      </c>
      <c r="I752" s="8" t="s">
        <v>125</v>
      </c>
    </row>
    <row r="753" ht="15" customHeight="1">
      <c r="A753" s="7">
        <v>751</v>
      </c>
      <c r="B753" s="18">
        <v>0.4411</v>
      </c>
      <c r="C753" s="18">
        <v>0.8928</v>
      </c>
      <c r="D753" s="16">
        <v>31630.81</v>
      </c>
      <c r="E753" s="18">
        <v>0.8267</v>
      </c>
      <c r="F753" s="18">
        <v>0.1291</v>
      </c>
      <c r="G753" s="16">
        <v>1178093.7</v>
      </c>
      <c r="H753" s="16">
        <v>1465948.94</v>
      </c>
      <c r="I753" s="7" t="s">
        <v>125</v>
      </c>
    </row>
    <row r="754" ht="15" customHeight="1">
      <c r="A754" s="8">
        <v>752</v>
      </c>
      <c r="B754" s="19">
        <v>0.4681</v>
      </c>
      <c r="C754" s="19">
        <v>1.0357</v>
      </c>
      <c r="D754" s="17">
        <v>28293.87</v>
      </c>
      <c r="E754" s="19">
        <v>0.8574</v>
      </c>
      <c r="F754" s="19">
        <v>0.1521</v>
      </c>
      <c r="G754" s="17">
        <v>2069518.16</v>
      </c>
      <c r="H754" s="17">
        <v>2523930.55</v>
      </c>
      <c r="I754" s="8" t="s">
        <v>125</v>
      </c>
    </row>
    <row r="755" ht="15" customHeight="1">
      <c r="A755" s="7">
        <v>753</v>
      </c>
      <c r="B755" s="18">
        <v>0.5263</v>
      </c>
      <c r="C755" s="18">
        <v>1.255</v>
      </c>
      <c r="D755" s="16">
        <v>29502.37</v>
      </c>
      <c r="E755" s="18">
        <v>0.9697</v>
      </c>
      <c r="F755" s="18">
        <v>0.0713</v>
      </c>
      <c r="G755" s="16">
        <v>3301320.47</v>
      </c>
      <c r="H755" s="16">
        <v>3951191.81</v>
      </c>
      <c r="I755" s="7" t="s">
        <v>125</v>
      </c>
    </row>
    <row r="756" ht="15" customHeight="1">
      <c r="A756" s="8">
        <v>754</v>
      </c>
      <c r="B756" s="19">
        <v>0.6201</v>
      </c>
      <c r="C756" s="19">
        <v>0.859</v>
      </c>
      <c r="D756" s="17">
        <v>20345.47</v>
      </c>
      <c r="E756" s="19">
        <v>0.9091</v>
      </c>
      <c r="F756" s="19">
        <v>0.0958</v>
      </c>
      <c r="G756" s="17">
        <v>2584895.52</v>
      </c>
      <c r="H756" s="17">
        <v>3114033.63</v>
      </c>
      <c r="I756" s="8" t="s">
        <v>125</v>
      </c>
    </row>
    <row r="757" ht="15" customHeight="1">
      <c r="A757" s="7">
        <v>755</v>
      </c>
      <c r="B757" s="18">
        <v>0.6607</v>
      </c>
      <c r="C757" s="18">
        <v>0.8628</v>
      </c>
      <c r="D757" s="16">
        <v>31039.02</v>
      </c>
      <c r="E757" s="18">
        <v>0.8831</v>
      </c>
      <c r="F757" s="18">
        <v>0.0112</v>
      </c>
      <c r="G757" s="16">
        <v>1998749.62</v>
      </c>
      <c r="H757" s="16">
        <v>2401625.08</v>
      </c>
      <c r="I757" s="7" t="s">
        <v>125</v>
      </c>
    </row>
    <row r="758" ht="15" customHeight="1">
      <c r="A758" s="8">
        <v>756</v>
      </c>
      <c r="B758" s="19">
        <v>0.6258</v>
      </c>
      <c r="C758" s="19">
        <v>1.0425</v>
      </c>
      <c r="D758" s="17">
        <v>20174.77</v>
      </c>
      <c r="E758" s="19">
        <v>0.8415</v>
      </c>
      <c r="F758" s="19">
        <v>0.0698</v>
      </c>
      <c r="G758" s="17">
        <v>2929729.57</v>
      </c>
      <c r="H758" s="17">
        <v>3511749.34</v>
      </c>
      <c r="I758" s="8" t="s">
        <v>125</v>
      </c>
    </row>
    <row r="759" ht="15" customHeight="1">
      <c r="A759" s="7">
        <v>757</v>
      </c>
      <c r="B759" s="18">
        <v>0.6499</v>
      </c>
      <c r="C759" s="18">
        <v>0.9251</v>
      </c>
      <c r="D759" s="16">
        <v>31327</v>
      </c>
      <c r="E759" s="18">
        <v>0.8297</v>
      </c>
      <c r="F759" s="18">
        <v>0.1299</v>
      </c>
      <c r="G759" s="16">
        <v>2522322.68</v>
      </c>
      <c r="H759" s="16">
        <v>3053975.85</v>
      </c>
      <c r="I759" s="7" t="s">
        <v>125</v>
      </c>
    </row>
    <row r="760" ht="15" customHeight="1">
      <c r="A760" s="8">
        <v>758</v>
      </c>
      <c r="B760" s="19">
        <v>0.6521</v>
      </c>
      <c r="C760" s="19">
        <v>1.13</v>
      </c>
      <c r="D760" s="17">
        <v>30966.62</v>
      </c>
      <c r="E760" s="19">
        <v>0.9245</v>
      </c>
      <c r="F760" s="19">
        <v>0.027</v>
      </c>
      <c r="G760" s="17">
        <v>3264269.54</v>
      </c>
      <c r="H760" s="17">
        <v>3890151.07</v>
      </c>
      <c r="I760" s="8" t="s">
        <v>125</v>
      </c>
    </row>
    <row r="761" ht="15" customHeight="1">
      <c r="A761" s="7">
        <v>759</v>
      </c>
      <c r="B761" s="18">
        <v>0.4818</v>
      </c>
      <c r="C761" s="18">
        <v>1.2976</v>
      </c>
      <c r="D761" s="16">
        <v>24006.78</v>
      </c>
      <c r="E761" s="18">
        <v>0.9131</v>
      </c>
      <c r="F761" s="18">
        <v>0.1418</v>
      </c>
      <c r="G761" s="16">
        <v>3369868.8</v>
      </c>
      <c r="H761" s="16">
        <v>4056987.54</v>
      </c>
      <c r="I761" s="7" t="s">
        <v>125</v>
      </c>
    </row>
    <row r="762" ht="15" customHeight="1">
      <c r="A762" s="8">
        <v>760</v>
      </c>
      <c r="B762" s="19">
        <v>0.6748</v>
      </c>
      <c r="C762" s="19">
        <v>1.2473</v>
      </c>
      <c r="D762" s="17">
        <v>21545.28</v>
      </c>
      <c r="E762" s="19">
        <v>0.8404</v>
      </c>
      <c r="F762" s="19">
        <v>0.0607</v>
      </c>
      <c r="G762" s="17">
        <v>3951146.55</v>
      </c>
      <c r="H762" s="17">
        <v>4709574.1</v>
      </c>
      <c r="I762" s="8" t="s">
        <v>125</v>
      </c>
    </row>
    <row r="763" ht="15" customHeight="1">
      <c r="A763" s="7">
        <v>761</v>
      </c>
      <c r="B763" s="18">
        <v>0.5916</v>
      </c>
      <c r="C763" s="18">
        <v>1.1838</v>
      </c>
      <c r="D763" s="16">
        <v>29735.55</v>
      </c>
      <c r="E763" s="18">
        <v>0.9136</v>
      </c>
      <c r="F763" s="18">
        <v>0.0956</v>
      </c>
      <c r="G763" s="16">
        <v>3438720.39</v>
      </c>
      <c r="H763" s="16">
        <v>4122629.83</v>
      </c>
      <c r="I763" s="7" t="s">
        <v>125</v>
      </c>
    </row>
    <row r="764" ht="15" customHeight="1">
      <c r="A764" s="8">
        <v>762</v>
      </c>
      <c r="B764" s="19">
        <v>0.6143</v>
      </c>
      <c r="C764" s="19">
        <v>1.1449</v>
      </c>
      <c r="D764" s="17">
        <v>33043.96</v>
      </c>
      <c r="E764" s="19">
        <v>0.9094</v>
      </c>
      <c r="F764" s="19">
        <v>0.0954</v>
      </c>
      <c r="G764" s="17">
        <v>3334327.22</v>
      </c>
      <c r="H764" s="17">
        <v>4000375.57</v>
      </c>
      <c r="I764" s="8" t="s">
        <v>125</v>
      </c>
    </row>
    <row r="765" ht="15" customHeight="1">
      <c r="A765" s="7">
        <v>763</v>
      </c>
      <c r="B765" s="18">
        <v>0.4056</v>
      </c>
      <c r="C765" s="18">
        <v>1.1582</v>
      </c>
      <c r="D765" s="16">
        <v>32616.47</v>
      </c>
      <c r="E765" s="18">
        <v>0.8296</v>
      </c>
      <c r="F765" s="18">
        <v>0.1587</v>
      </c>
      <c r="G765" s="16">
        <v>1757600.59</v>
      </c>
      <c r="H765" s="16">
        <v>2158261.52</v>
      </c>
      <c r="I765" s="7" t="s">
        <v>125</v>
      </c>
    </row>
    <row r="766" ht="15" customHeight="1">
      <c r="A766" s="8">
        <v>764</v>
      </c>
      <c r="B766" s="19">
        <v>0.8289</v>
      </c>
      <c r="C766" s="19">
        <v>1.1225</v>
      </c>
      <c r="D766" s="17">
        <v>26293.51</v>
      </c>
      <c r="E766" s="19">
        <v>0.8594</v>
      </c>
      <c r="F766" s="19">
        <v>0.0506</v>
      </c>
      <c r="G766" s="17">
        <v>4376598.62</v>
      </c>
      <c r="H766" s="17">
        <v>5205593.96</v>
      </c>
      <c r="I766" s="8" t="s">
        <v>125</v>
      </c>
    </row>
    <row r="767" ht="15" customHeight="1">
      <c r="A767" s="7">
        <v>765</v>
      </c>
      <c r="B767" s="18">
        <v>0.4505</v>
      </c>
      <c r="C767" s="18">
        <v>0.688</v>
      </c>
      <c r="D767" s="16">
        <v>30560.71</v>
      </c>
      <c r="E767" s="18">
        <v>0.8579</v>
      </c>
      <c r="F767" s="18">
        <v>0.0983</v>
      </c>
      <c r="G767" s="16">
        <v>671825.28</v>
      </c>
      <c r="H767" s="16">
        <v>862545.09</v>
      </c>
      <c r="I767" s="7" t="s">
        <v>125</v>
      </c>
    </row>
    <row r="768" ht="15" customHeight="1">
      <c r="A768" s="8">
        <v>766</v>
      </c>
      <c r="B768" s="19">
        <v>0.4104</v>
      </c>
      <c r="C768" s="19">
        <v>1.2253</v>
      </c>
      <c r="D768" s="17">
        <v>32840.65</v>
      </c>
      <c r="E768" s="19">
        <v>0.8891</v>
      </c>
      <c r="F768" s="19">
        <v>0.1275</v>
      </c>
      <c r="G768" s="17">
        <v>2066610.44</v>
      </c>
      <c r="H768" s="17">
        <v>2515482.03</v>
      </c>
      <c r="I768" s="8" t="s">
        <v>125</v>
      </c>
    </row>
    <row r="769" ht="15" customHeight="1">
      <c r="A769" s="7">
        <v>767</v>
      </c>
      <c r="B769" s="18">
        <v>0.6212</v>
      </c>
      <c r="C769" s="18">
        <v>0.8865</v>
      </c>
      <c r="D769" s="16">
        <v>19082.06</v>
      </c>
      <c r="E769" s="18">
        <v>0.9235</v>
      </c>
      <c r="F769" s="18">
        <v>0.0366</v>
      </c>
      <c r="G769" s="16">
        <v>2517466.82</v>
      </c>
      <c r="H769" s="16">
        <v>3016564.54</v>
      </c>
      <c r="I769" s="7" t="s">
        <v>125</v>
      </c>
    </row>
    <row r="770" ht="15" customHeight="1">
      <c r="A770" s="8">
        <v>768</v>
      </c>
      <c r="B770" s="19">
        <v>0.7168</v>
      </c>
      <c r="C770" s="19">
        <v>1.1023</v>
      </c>
      <c r="D770" s="17">
        <v>22784.42</v>
      </c>
      <c r="E770" s="19">
        <v>0.9323</v>
      </c>
      <c r="F770" s="19">
        <v>0.053</v>
      </c>
      <c r="G770" s="17">
        <v>4064810.19</v>
      </c>
      <c r="H770" s="17">
        <v>4839961.74</v>
      </c>
      <c r="I770" s="8" t="s">
        <v>125</v>
      </c>
    </row>
    <row r="771" ht="15" customHeight="1">
      <c r="A771" s="7">
        <v>769</v>
      </c>
      <c r="B771" s="18">
        <v>0.4654</v>
      </c>
      <c r="C771" s="18">
        <v>0.4495</v>
      </c>
      <c r="D771" s="16">
        <v>29257.18</v>
      </c>
      <c r="E771" s="18">
        <v>0.8738</v>
      </c>
      <c r="F771" s="18">
        <v>0.1339</v>
      </c>
      <c r="G771" s="16">
        <v>162891.19</v>
      </c>
      <c r="H771" s="16">
        <v>266473.42</v>
      </c>
      <c r="I771" s="7" t="s">
        <v>125</v>
      </c>
    </row>
    <row r="772" ht="15" customHeight="1">
      <c r="A772" s="8">
        <v>770</v>
      </c>
      <c r="B772" s="19">
        <v>0.5067</v>
      </c>
      <c r="C772" s="19">
        <v>0.9074</v>
      </c>
      <c r="D772" s="17">
        <v>29707.33</v>
      </c>
      <c r="E772" s="19">
        <v>0.8102</v>
      </c>
      <c r="F772" s="19">
        <v>0.1206</v>
      </c>
      <c r="G772" s="17">
        <v>1566111.45</v>
      </c>
      <c r="H772" s="17">
        <v>1921655.89</v>
      </c>
      <c r="I772" s="8" t="s">
        <v>125</v>
      </c>
    </row>
    <row r="773" ht="15" customHeight="1">
      <c r="A773" s="7">
        <v>771</v>
      </c>
      <c r="B773" s="18">
        <v>0.5351</v>
      </c>
      <c r="C773" s="18">
        <v>1.0126</v>
      </c>
      <c r="D773" s="16">
        <v>27825.94</v>
      </c>
      <c r="E773" s="18">
        <v>0.876</v>
      </c>
      <c r="F773" s="18">
        <v>0.0494</v>
      </c>
      <c r="G773" s="16">
        <v>2074753.12</v>
      </c>
      <c r="H773" s="16">
        <v>2501686.74</v>
      </c>
      <c r="I773" s="7" t="s">
        <v>125</v>
      </c>
    </row>
    <row r="774" ht="15" customHeight="1">
      <c r="A774" s="8">
        <v>772</v>
      </c>
      <c r="B774" s="19">
        <v>0.4639</v>
      </c>
      <c r="C774" s="19">
        <v>1.055</v>
      </c>
      <c r="D774" s="17">
        <v>23419.71</v>
      </c>
      <c r="E774" s="19">
        <v>0.8853</v>
      </c>
      <c r="F774" s="19">
        <v>0.0393</v>
      </c>
      <c r="G774" s="17">
        <v>1883740.62</v>
      </c>
      <c r="H774" s="17">
        <v>2274124.06</v>
      </c>
      <c r="I774" s="8" t="s">
        <v>125</v>
      </c>
    </row>
    <row r="775" ht="15" customHeight="1">
      <c r="A775" s="7">
        <v>773</v>
      </c>
      <c r="B775" s="18">
        <v>0.5534</v>
      </c>
      <c r="C775" s="18">
        <v>0.9693</v>
      </c>
      <c r="D775" s="16">
        <v>27351.23</v>
      </c>
      <c r="E775" s="18">
        <v>0.8105</v>
      </c>
      <c r="F775" s="18">
        <v>0.0799</v>
      </c>
      <c r="G775" s="16">
        <v>1939078.34</v>
      </c>
      <c r="H775" s="16">
        <v>2350544.42</v>
      </c>
      <c r="I775" s="7" t="s">
        <v>125</v>
      </c>
    </row>
    <row r="776" ht="15" customHeight="1">
      <c r="A776" s="8">
        <v>774</v>
      </c>
      <c r="B776" s="19">
        <v>0.6534</v>
      </c>
      <c r="C776" s="19">
        <v>0.9264</v>
      </c>
      <c r="D776" s="17">
        <v>30909.03</v>
      </c>
      <c r="E776" s="19">
        <v>0.8847</v>
      </c>
      <c r="F776" s="19">
        <v>0.1076</v>
      </c>
      <c r="G776" s="17">
        <v>2698384.16</v>
      </c>
      <c r="H776" s="17">
        <v>3254450.34</v>
      </c>
      <c r="I776" s="8" t="s">
        <v>125</v>
      </c>
    </row>
    <row r="777" ht="15" customHeight="1">
      <c r="A777" s="7">
        <v>775</v>
      </c>
      <c r="B777" s="18">
        <v>0.5518</v>
      </c>
      <c r="C777" s="18">
        <v>1.2297</v>
      </c>
      <c r="D777" s="16">
        <v>26976.49</v>
      </c>
      <c r="E777" s="18">
        <v>0.873</v>
      </c>
      <c r="F777" s="18">
        <v>0.1785</v>
      </c>
      <c r="G777" s="16">
        <v>3669711.66</v>
      </c>
      <c r="H777" s="16">
        <v>4426786.74</v>
      </c>
      <c r="I777" s="7" t="s">
        <v>125</v>
      </c>
    </row>
    <row r="778" ht="15" customHeight="1">
      <c r="A778" s="8">
        <v>776</v>
      </c>
      <c r="B778" s="19">
        <v>0.464</v>
      </c>
      <c r="C778" s="19">
        <v>0.8709</v>
      </c>
      <c r="D778" s="17">
        <v>30297.43</v>
      </c>
      <c r="E778" s="19">
        <v>0.8341</v>
      </c>
      <c r="F778" s="19">
        <v>0.0942</v>
      </c>
      <c r="G778" s="17">
        <v>1190810.1</v>
      </c>
      <c r="H778" s="17">
        <v>1473345.11</v>
      </c>
      <c r="I778" s="8" t="s">
        <v>125</v>
      </c>
    </row>
    <row r="779" ht="15" customHeight="1">
      <c r="A779" s="7">
        <v>777</v>
      </c>
      <c r="B779" s="18">
        <v>0.5322</v>
      </c>
      <c r="C779" s="18">
        <v>0.6693</v>
      </c>
      <c r="D779" s="16">
        <v>30342.69</v>
      </c>
      <c r="E779" s="18">
        <v>0.8943</v>
      </c>
      <c r="F779" s="18">
        <v>0.0718</v>
      </c>
      <c r="G779" s="16">
        <v>985262.1</v>
      </c>
      <c r="H779" s="16">
        <v>1226826.49</v>
      </c>
      <c r="I779" s="7" t="s">
        <v>125</v>
      </c>
    </row>
    <row r="780" ht="15" customHeight="1">
      <c r="A780" s="8">
        <v>778</v>
      </c>
      <c r="B780" s="19">
        <v>0.5572</v>
      </c>
      <c r="C780" s="19">
        <v>0.942</v>
      </c>
      <c r="D780" s="17">
        <v>28747.84</v>
      </c>
      <c r="E780" s="19">
        <v>0.9033</v>
      </c>
      <c r="F780" s="19">
        <v>0.1202</v>
      </c>
      <c r="G780" s="17">
        <v>2366255.04</v>
      </c>
      <c r="H780" s="17">
        <v>2865871.55</v>
      </c>
      <c r="I780" s="8" t="s">
        <v>125</v>
      </c>
    </row>
    <row r="781" ht="15" customHeight="1">
      <c r="A781" s="7">
        <v>779</v>
      </c>
      <c r="B781" s="18">
        <v>0.6103</v>
      </c>
      <c r="C781" s="18">
        <v>1.0205</v>
      </c>
      <c r="D781" s="16">
        <v>23388.72</v>
      </c>
      <c r="E781" s="18">
        <v>0.932</v>
      </c>
      <c r="F781" s="18">
        <v>0.1033</v>
      </c>
      <c r="G781" s="16">
        <v>3240761.18</v>
      </c>
      <c r="H781" s="16">
        <v>3890462.66</v>
      </c>
      <c r="I781" s="7" t="s">
        <v>125</v>
      </c>
    </row>
    <row r="782" ht="15" customHeight="1">
      <c r="A782" s="8">
        <v>780</v>
      </c>
      <c r="B782" s="19">
        <v>0.371</v>
      </c>
      <c r="C782" s="19">
        <v>0.8847</v>
      </c>
      <c r="D782" s="17">
        <v>30518.46</v>
      </c>
      <c r="E782" s="19">
        <v>0.7696</v>
      </c>
      <c r="F782" s="19">
        <v>0.087</v>
      </c>
      <c r="G782" s="17">
        <v>546695.12</v>
      </c>
      <c r="H782" s="17">
        <v>713279.99</v>
      </c>
      <c r="I782" s="8" t="s">
        <v>125</v>
      </c>
    </row>
    <row r="783" ht="15" customHeight="1">
      <c r="A783" s="7">
        <v>781</v>
      </c>
      <c r="B783" s="18">
        <v>0.5953</v>
      </c>
      <c r="C783" s="18">
        <v>0.6072</v>
      </c>
      <c r="D783" s="16">
        <v>26211.29</v>
      </c>
      <c r="E783" s="18">
        <v>0.8878</v>
      </c>
      <c r="F783" s="18">
        <v>0.0331</v>
      </c>
      <c r="G783" s="16">
        <v>1013231.39</v>
      </c>
      <c r="H783" s="16">
        <v>1251587.36</v>
      </c>
      <c r="I783" s="7" t="s">
        <v>125</v>
      </c>
    </row>
    <row r="784" ht="15" customHeight="1">
      <c r="A784" s="8">
        <v>782</v>
      </c>
      <c r="B784" s="19">
        <v>0.6634</v>
      </c>
      <c r="C784" s="19">
        <v>0.888</v>
      </c>
      <c r="D784" s="17">
        <v>28360.41</v>
      </c>
      <c r="E784" s="19">
        <v>0.8569</v>
      </c>
      <c r="F784" s="19">
        <v>0.087</v>
      </c>
      <c r="G784" s="17">
        <v>2446172.44</v>
      </c>
      <c r="H784" s="17">
        <v>2949882.14</v>
      </c>
      <c r="I784" s="8" t="s">
        <v>125</v>
      </c>
    </row>
    <row r="785" ht="15" customHeight="1">
      <c r="A785" s="7">
        <v>783</v>
      </c>
      <c r="B785" s="18">
        <v>0.5296</v>
      </c>
      <c r="C785" s="18">
        <v>1.0396</v>
      </c>
      <c r="D785" s="16">
        <v>24356.88</v>
      </c>
      <c r="E785" s="18">
        <v>0.9</v>
      </c>
      <c r="F785" s="18">
        <v>0.144</v>
      </c>
      <c r="G785" s="16">
        <v>2781943.11</v>
      </c>
      <c r="H785" s="16">
        <v>3362701.52</v>
      </c>
      <c r="I785" s="7" t="s">
        <v>125</v>
      </c>
    </row>
    <row r="786" ht="15" customHeight="1">
      <c r="A786" s="8">
        <v>784</v>
      </c>
      <c r="B786" s="19">
        <v>0.5116</v>
      </c>
      <c r="C786" s="19">
        <v>0.8977</v>
      </c>
      <c r="D786" s="17">
        <v>29018.47</v>
      </c>
      <c r="E786" s="19">
        <v>0.901</v>
      </c>
      <c r="F786" s="19">
        <v>0.0561</v>
      </c>
      <c r="G786" s="17">
        <v>1643254.29</v>
      </c>
      <c r="H786" s="17">
        <v>1996747.33</v>
      </c>
      <c r="I786" s="8" t="s">
        <v>125</v>
      </c>
    </row>
    <row r="787" ht="15" customHeight="1">
      <c r="A787" s="7">
        <v>785</v>
      </c>
      <c r="B787" s="18">
        <v>0.5995</v>
      </c>
      <c r="C787" s="18">
        <v>0.707</v>
      </c>
      <c r="D787" s="16">
        <v>25409.45</v>
      </c>
      <c r="E787" s="18">
        <v>0.8407</v>
      </c>
      <c r="F787" s="18">
        <v>0.0741</v>
      </c>
      <c r="G787" s="16">
        <v>1414049.74</v>
      </c>
      <c r="H787" s="16">
        <v>1730810.61</v>
      </c>
      <c r="I787" s="7" t="s">
        <v>125</v>
      </c>
    </row>
    <row r="788" ht="15" customHeight="1">
      <c r="A788" s="8">
        <v>786</v>
      </c>
      <c r="B788" s="19">
        <v>0.7175</v>
      </c>
      <c r="C788" s="19">
        <v>0.8773</v>
      </c>
      <c r="D788" s="17">
        <v>26664.41</v>
      </c>
      <c r="E788" s="19">
        <v>0.772</v>
      </c>
      <c r="F788" s="19">
        <v>0.1042</v>
      </c>
      <c r="G788" s="17">
        <v>2442944.79</v>
      </c>
      <c r="H788" s="17">
        <v>2950933.69</v>
      </c>
      <c r="I788" s="8" t="s">
        <v>125</v>
      </c>
    </row>
    <row r="789" ht="15" customHeight="1">
      <c r="A789" s="7">
        <v>787</v>
      </c>
      <c r="B789" s="18">
        <v>0.5512</v>
      </c>
      <c r="C789" s="18">
        <v>0.8277</v>
      </c>
      <c r="D789" s="16">
        <v>21736.76</v>
      </c>
      <c r="E789" s="18">
        <v>0.9687</v>
      </c>
      <c r="F789" s="18">
        <v>0.0772</v>
      </c>
      <c r="G789" s="16">
        <v>2151666.71</v>
      </c>
      <c r="H789" s="16">
        <v>2598829.38</v>
      </c>
      <c r="I789" s="7" t="s">
        <v>125</v>
      </c>
    </row>
    <row r="790" ht="15" customHeight="1">
      <c r="A790" s="8">
        <v>788</v>
      </c>
      <c r="B790" s="19">
        <v>0.7029</v>
      </c>
      <c r="C790" s="19">
        <v>0.9868</v>
      </c>
      <c r="D790" s="17">
        <v>32377.07</v>
      </c>
      <c r="E790" s="19">
        <v>0.902</v>
      </c>
      <c r="F790" s="19">
        <v>0.0991</v>
      </c>
      <c r="G790" s="17">
        <v>3274815.57</v>
      </c>
      <c r="H790" s="17">
        <v>3931499.03</v>
      </c>
      <c r="I790" s="8" t="s">
        <v>125</v>
      </c>
    </row>
    <row r="791" ht="15" customHeight="1">
      <c r="A791" s="7">
        <v>789</v>
      </c>
      <c r="B791" s="18">
        <v>0.7429</v>
      </c>
      <c r="C791" s="18">
        <v>1.0751</v>
      </c>
      <c r="D791" s="16">
        <v>32926.55</v>
      </c>
      <c r="E791" s="18">
        <v>0.8496</v>
      </c>
      <c r="F791" s="18">
        <v>0.0984</v>
      </c>
      <c r="G791" s="16">
        <v>3644212.07</v>
      </c>
      <c r="H791" s="16">
        <v>4366804.44</v>
      </c>
      <c r="I791" s="7" t="s">
        <v>125</v>
      </c>
    </row>
    <row r="792" ht="15" customHeight="1">
      <c r="A792" s="8">
        <v>790</v>
      </c>
      <c r="B792" s="19">
        <v>0.7169</v>
      </c>
      <c r="C792" s="19">
        <v>0.8022</v>
      </c>
      <c r="D792" s="17">
        <v>34425.51</v>
      </c>
      <c r="E792" s="19">
        <v>0.8772</v>
      </c>
      <c r="F792" s="19">
        <v>0.0906</v>
      </c>
      <c r="G792" s="17">
        <v>2275638.52</v>
      </c>
      <c r="H792" s="17">
        <v>2751610.23</v>
      </c>
      <c r="I792" s="8" t="s">
        <v>125</v>
      </c>
    </row>
    <row r="793" ht="15" customHeight="1">
      <c r="A793" s="7">
        <v>791</v>
      </c>
      <c r="B793" s="18">
        <v>0.4566</v>
      </c>
      <c r="C793" s="18">
        <v>1.2227</v>
      </c>
      <c r="D793" s="16">
        <v>22782.85</v>
      </c>
      <c r="E793" s="18">
        <v>0.8113</v>
      </c>
      <c r="F793" s="18">
        <v>0.1391</v>
      </c>
      <c r="G793" s="16">
        <v>2474084.27</v>
      </c>
      <c r="H793" s="16">
        <v>2996688.5</v>
      </c>
      <c r="I793" s="7" t="s">
        <v>125</v>
      </c>
    </row>
    <row r="794" ht="15" customHeight="1">
      <c r="A794" s="8">
        <v>792</v>
      </c>
      <c r="B794" s="19">
        <v>0.5843</v>
      </c>
      <c r="C794" s="19">
        <v>0.9171</v>
      </c>
      <c r="D794" s="17">
        <v>21817.54</v>
      </c>
      <c r="E794" s="19">
        <v>0.8649</v>
      </c>
      <c r="F794" s="19">
        <v>0.0297</v>
      </c>
      <c r="G794" s="17">
        <v>2097715.05</v>
      </c>
      <c r="H794" s="17">
        <v>2522399.57</v>
      </c>
      <c r="I794" s="8" t="s">
        <v>125</v>
      </c>
    </row>
    <row r="795" ht="15" customHeight="1">
      <c r="A795" s="7">
        <v>793</v>
      </c>
      <c r="B795" s="18">
        <v>0.6604</v>
      </c>
      <c r="C795" s="18">
        <v>0.9312</v>
      </c>
      <c r="D795" s="16">
        <v>18107.96</v>
      </c>
      <c r="E795" s="18">
        <v>0.9464</v>
      </c>
      <c r="F795" s="18">
        <v>0.0898</v>
      </c>
      <c r="G795" s="16">
        <v>3338517.29</v>
      </c>
      <c r="H795" s="16">
        <v>3999440.39</v>
      </c>
      <c r="I795" s="7" t="s">
        <v>125</v>
      </c>
    </row>
    <row r="796" ht="15" customHeight="1">
      <c r="A796" s="8">
        <v>794</v>
      </c>
      <c r="B796" s="19">
        <v>0.6136</v>
      </c>
      <c r="C796" s="19">
        <v>0.8654</v>
      </c>
      <c r="D796" s="17">
        <v>33391.85</v>
      </c>
      <c r="E796" s="19">
        <v>0.882</v>
      </c>
      <c r="F796" s="19">
        <v>0.1562</v>
      </c>
      <c r="G796" s="17">
        <v>2349606.61</v>
      </c>
      <c r="H796" s="17">
        <v>2858589.68</v>
      </c>
      <c r="I796" s="8" t="s">
        <v>125</v>
      </c>
    </row>
    <row r="797" ht="15" customHeight="1">
      <c r="A797" s="7">
        <v>795</v>
      </c>
      <c r="B797" s="18">
        <v>0.7789</v>
      </c>
      <c r="C797" s="18">
        <v>0.6617</v>
      </c>
      <c r="D797" s="16">
        <v>36566.48</v>
      </c>
      <c r="E797" s="18">
        <v>0.8677</v>
      </c>
      <c r="F797" s="18">
        <v>0.0395</v>
      </c>
      <c r="G797" s="16">
        <v>1574372.04</v>
      </c>
      <c r="H797" s="16">
        <v>1912513.7</v>
      </c>
      <c r="I797" s="7" t="s">
        <v>125</v>
      </c>
    </row>
    <row r="798" ht="15" customHeight="1">
      <c r="A798" s="8">
        <v>796</v>
      </c>
      <c r="B798" s="19">
        <v>0.5827</v>
      </c>
      <c r="C798" s="19">
        <v>1.1702</v>
      </c>
      <c r="D798" s="17">
        <v>27859.85</v>
      </c>
      <c r="E798" s="19">
        <v>0.9266</v>
      </c>
      <c r="F798" s="19">
        <v>0.0476</v>
      </c>
      <c r="G798" s="17">
        <v>3148579.73</v>
      </c>
      <c r="H798" s="17">
        <v>3762215.57</v>
      </c>
      <c r="I798" s="8" t="s">
        <v>125</v>
      </c>
    </row>
    <row r="799" ht="15" customHeight="1">
      <c r="A799" s="7">
        <v>797</v>
      </c>
      <c r="B799" s="18">
        <v>0.5423</v>
      </c>
      <c r="C799" s="18">
        <v>1.157</v>
      </c>
      <c r="D799" s="16">
        <v>16315.29</v>
      </c>
      <c r="E799" s="18">
        <v>0.9103</v>
      </c>
      <c r="F799" s="18">
        <v>0.0373</v>
      </c>
      <c r="G799" s="16">
        <v>3031695.3</v>
      </c>
      <c r="H799" s="16">
        <v>3619909.67</v>
      </c>
      <c r="I799" s="7" t="s">
        <v>125</v>
      </c>
    </row>
    <row r="800" ht="15" customHeight="1">
      <c r="A800" s="8">
        <v>798</v>
      </c>
      <c r="B800" s="19">
        <v>0.718</v>
      </c>
      <c r="C800" s="19">
        <v>1.0309</v>
      </c>
      <c r="D800" s="17">
        <v>29158.47</v>
      </c>
      <c r="E800" s="19">
        <v>0.851</v>
      </c>
      <c r="F800" s="19">
        <v>0.0328</v>
      </c>
      <c r="G800" s="17">
        <v>3009623.45</v>
      </c>
      <c r="H800" s="17">
        <v>3593666.51</v>
      </c>
      <c r="I800" s="8" t="s">
        <v>125</v>
      </c>
    </row>
    <row r="801" ht="15" customHeight="1">
      <c r="A801" s="7">
        <v>799</v>
      </c>
      <c r="B801" s="18">
        <v>0.7484</v>
      </c>
      <c r="C801" s="18">
        <v>0.921</v>
      </c>
      <c r="D801" s="16">
        <v>25654.15</v>
      </c>
      <c r="E801" s="18">
        <v>0.9029</v>
      </c>
      <c r="F801" s="18">
        <v>0.0828</v>
      </c>
      <c r="G801" s="16">
        <v>3359324.49</v>
      </c>
      <c r="H801" s="16">
        <v>4023131.52</v>
      </c>
      <c r="I801" s="7" t="s">
        <v>125</v>
      </c>
    </row>
    <row r="802" ht="15" customHeight="1">
      <c r="A802" s="8">
        <v>800</v>
      </c>
      <c r="B802" s="19">
        <v>0.3218</v>
      </c>
      <c r="C802" s="19">
        <v>1.0227</v>
      </c>
      <c r="D802" s="17">
        <v>28930</v>
      </c>
      <c r="E802" s="19">
        <v>0.9463</v>
      </c>
      <c r="F802" s="19">
        <v>0.1553</v>
      </c>
      <c r="G802" s="17">
        <v>1234376.48</v>
      </c>
      <c r="H802" s="17">
        <v>1536744.61</v>
      </c>
      <c r="I802" s="8" t="s">
        <v>125</v>
      </c>
    </row>
    <row r="803" ht="15" customHeight="1">
      <c r="A803" s="7">
        <v>801</v>
      </c>
      <c r="B803" s="18">
        <v>0.4667</v>
      </c>
      <c r="C803" s="18">
        <v>1.0132</v>
      </c>
      <c r="D803" s="16">
        <v>20603.94</v>
      </c>
      <c r="E803" s="18">
        <v>0.8626</v>
      </c>
      <c r="F803" s="18">
        <v>0.1435</v>
      </c>
      <c r="G803" s="16">
        <v>2208869.72</v>
      </c>
      <c r="H803" s="16">
        <v>2683519.34</v>
      </c>
      <c r="I803" s="7" t="s">
        <v>125</v>
      </c>
    </row>
    <row r="804" ht="15" customHeight="1">
      <c r="A804" s="8">
        <v>802</v>
      </c>
      <c r="B804" s="19">
        <v>0.6113</v>
      </c>
      <c r="C804" s="19">
        <v>1.0743</v>
      </c>
      <c r="D804" s="17">
        <v>28228.94</v>
      </c>
      <c r="E804" s="19">
        <v>0.8209</v>
      </c>
      <c r="F804" s="19">
        <v>0.0751</v>
      </c>
      <c r="G804" s="17">
        <v>2638826.43</v>
      </c>
      <c r="H804" s="17">
        <v>3172860.21</v>
      </c>
      <c r="I804" s="8" t="s">
        <v>125</v>
      </c>
    </row>
    <row r="805" ht="15" customHeight="1">
      <c r="A805" s="7">
        <v>803</v>
      </c>
      <c r="B805" s="18">
        <v>0.574</v>
      </c>
      <c r="C805" s="18">
        <v>1.263</v>
      </c>
      <c r="D805" s="16">
        <v>22852.89</v>
      </c>
      <c r="E805" s="18">
        <v>0.8578</v>
      </c>
      <c r="F805" s="18">
        <v>0.1136</v>
      </c>
      <c r="G805" s="16">
        <v>3628556.63</v>
      </c>
      <c r="H805" s="16">
        <v>4351589.79</v>
      </c>
      <c r="I805" s="7" t="s">
        <v>125</v>
      </c>
    </row>
    <row r="806" ht="15" customHeight="1">
      <c r="A806" s="8">
        <v>804</v>
      </c>
      <c r="B806" s="19">
        <v>0.7009</v>
      </c>
      <c r="C806" s="19">
        <v>1.0517</v>
      </c>
      <c r="D806" s="17">
        <v>20899.77</v>
      </c>
      <c r="E806" s="19">
        <v>0.883</v>
      </c>
      <c r="F806" s="19">
        <v>0.0854</v>
      </c>
      <c r="G806" s="17">
        <v>3727071.82</v>
      </c>
      <c r="H806" s="17">
        <v>4456062.71</v>
      </c>
      <c r="I806" s="8" t="s">
        <v>125</v>
      </c>
    </row>
    <row r="807" ht="15" customHeight="1">
      <c r="A807" s="7">
        <v>805</v>
      </c>
      <c r="B807" s="18">
        <v>0.5611</v>
      </c>
      <c r="C807" s="18">
        <v>0.7649</v>
      </c>
      <c r="D807" s="16">
        <v>27381.44</v>
      </c>
      <c r="E807" s="18">
        <v>0.765</v>
      </c>
      <c r="F807" s="18">
        <v>0.113</v>
      </c>
      <c r="G807" s="16">
        <v>1277218.13</v>
      </c>
      <c r="H807" s="16">
        <v>1578302.86</v>
      </c>
      <c r="I807" s="7" t="s">
        <v>125</v>
      </c>
    </row>
    <row r="808" ht="15" customHeight="1">
      <c r="A808" s="8">
        <v>806</v>
      </c>
      <c r="B808" s="19">
        <v>0.7262</v>
      </c>
      <c r="C808" s="19">
        <v>1.2564</v>
      </c>
      <c r="D808" s="17">
        <v>30918.46</v>
      </c>
      <c r="E808" s="19">
        <v>0.8889</v>
      </c>
      <c r="F808" s="19">
        <v>0.1468</v>
      </c>
      <c r="G808" s="17">
        <v>5073569.45</v>
      </c>
      <c r="H808" s="17">
        <v>6076426.53</v>
      </c>
      <c r="I808" s="8" t="s">
        <v>125</v>
      </c>
    </row>
    <row r="809" ht="15" customHeight="1">
      <c r="A809" s="7">
        <v>807</v>
      </c>
      <c r="B809" s="18">
        <v>0.6371</v>
      </c>
      <c r="C809" s="18">
        <v>0.7835</v>
      </c>
      <c r="D809" s="16">
        <v>24026.57</v>
      </c>
      <c r="E809" s="18">
        <v>0.8606</v>
      </c>
      <c r="F809" s="18">
        <v>0.0911</v>
      </c>
      <c r="G809" s="16">
        <v>2050382.27</v>
      </c>
      <c r="H809" s="16">
        <v>2483817.45</v>
      </c>
      <c r="I809" s="7" t="s">
        <v>125</v>
      </c>
    </row>
    <row r="810" ht="15" customHeight="1">
      <c r="A810" s="8">
        <v>808</v>
      </c>
      <c r="B810" s="19">
        <v>0.6284</v>
      </c>
      <c r="C810" s="19">
        <v>0.8023</v>
      </c>
      <c r="D810" s="17">
        <v>21227.81</v>
      </c>
      <c r="E810" s="19">
        <v>0.8919</v>
      </c>
      <c r="F810" s="19">
        <v>0.1325</v>
      </c>
      <c r="G810" s="17">
        <v>2466578.43</v>
      </c>
      <c r="H810" s="17">
        <v>2985362.91</v>
      </c>
      <c r="I810" s="8" t="s">
        <v>125</v>
      </c>
    </row>
    <row r="811" ht="15" customHeight="1">
      <c r="A811" s="7">
        <v>809</v>
      </c>
      <c r="B811" s="18">
        <v>0.5257</v>
      </c>
      <c r="C811" s="18">
        <v>0.828</v>
      </c>
      <c r="D811" s="16">
        <v>29275.07</v>
      </c>
      <c r="E811" s="18">
        <v>0.8594</v>
      </c>
      <c r="F811" s="18">
        <v>0.1067</v>
      </c>
      <c r="G811" s="16">
        <v>1540322.25</v>
      </c>
      <c r="H811" s="16">
        <v>1887867.9</v>
      </c>
      <c r="I811" s="7" t="s">
        <v>125</v>
      </c>
    </row>
    <row r="812" ht="15" customHeight="1">
      <c r="A812" s="8">
        <v>810</v>
      </c>
      <c r="B812" s="19">
        <v>0.7607</v>
      </c>
      <c r="C812" s="19">
        <v>0.9675</v>
      </c>
      <c r="D812" s="17">
        <v>27587.97</v>
      </c>
      <c r="E812" s="19">
        <v>0.8927</v>
      </c>
      <c r="F812" s="19">
        <v>0.1262</v>
      </c>
      <c r="G812" s="17">
        <v>3829997.13</v>
      </c>
      <c r="H812" s="17">
        <v>4595976.51</v>
      </c>
      <c r="I812" s="8" t="s">
        <v>125</v>
      </c>
    </row>
    <row r="813" ht="15" customHeight="1">
      <c r="A813" s="7">
        <v>811</v>
      </c>
      <c r="B813" s="18">
        <v>0.7199</v>
      </c>
      <c r="C813" s="18">
        <v>1.1709</v>
      </c>
      <c r="D813" s="16">
        <v>36639.63</v>
      </c>
      <c r="E813" s="18">
        <v>0.9564</v>
      </c>
      <c r="F813" s="18">
        <v>0.0399</v>
      </c>
      <c r="G813" s="16">
        <v>4023877.26</v>
      </c>
      <c r="H813" s="16">
        <v>4787542.56</v>
      </c>
      <c r="I813" s="7" t="s">
        <v>125</v>
      </c>
    </row>
    <row r="814" ht="15" customHeight="1">
      <c r="A814" s="8">
        <v>812</v>
      </c>
      <c r="B814" s="19">
        <v>0.564</v>
      </c>
      <c r="C814" s="19">
        <v>1.2399</v>
      </c>
      <c r="D814" s="17">
        <v>26732.25</v>
      </c>
      <c r="E814" s="19">
        <v>0.9114</v>
      </c>
      <c r="F814" s="19">
        <v>0.1061</v>
      </c>
      <c r="G814" s="17">
        <v>3578516.25</v>
      </c>
      <c r="H814" s="17">
        <v>4290770.19</v>
      </c>
      <c r="I814" s="8" t="s">
        <v>125</v>
      </c>
    </row>
    <row r="815" ht="15" customHeight="1">
      <c r="A815" s="7">
        <v>813</v>
      </c>
      <c r="B815" s="18">
        <v>0.7591</v>
      </c>
      <c r="C815" s="18">
        <v>0.9237</v>
      </c>
      <c r="D815" s="16">
        <v>29605.68</v>
      </c>
      <c r="E815" s="18">
        <v>0.8735</v>
      </c>
      <c r="F815" s="18">
        <v>0.0608</v>
      </c>
      <c r="G815" s="16">
        <v>3037474.56</v>
      </c>
      <c r="H815" s="16">
        <v>3636921.19</v>
      </c>
      <c r="I815" s="7" t="s">
        <v>125</v>
      </c>
    </row>
    <row r="816" ht="15" customHeight="1">
      <c r="A816" s="8">
        <v>814</v>
      </c>
      <c r="B816" s="19">
        <v>0.7309</v>
      </c>
      <c r="C816" s="19">
        <v>1.1389</v>
      </c>
      <c r="D816" s="17">
        <v>30800.72</v>
      </c>
      <c r="E816" s="19">
        <v>0.8686</v>
      </c>
      <c r="F816" s="19">
        <v>0.0787</v>
      </c>
      <c r="G816" s="17">
        <v>3899698.71</v>
      </c>
      <c r="H816" s="17">
        <v>4658683.78</v>
      </c>
      <c r="I816" s="8" t="s">
        <v>125</v>
      </c>
    </row>
    <row r="817" ht="15" customHeight="1">
      <c r="A817" s="7">
        <v>815</v>
      </c>
      <c r="B817" s="18">
        <v>0.5804</v>
      </c>
      <c r="C817" s="18">
        <v>1.0659</v>
      </c>
      <c r="D817" s="16">
        <v>31930.8</v>
      </c>
      <c r="E817" s="18">
        <v>0.9073</v>
      </c>
      <c r="F817" s="18">
        <v>0.0249</v>
      </c>
      <c r="G817" s="16">
        <v>2420329.06</v>
      </c>
      <c r="H817" s="16">
        <v>2899997.4</v>
      </c>
      <c r="I817" s="7" t="s">
        <v>125</v>
      </c>
    </row>
    <row r="818" ht="15" customHeight="1">
      <c r="A818" s="8">
        <v>816</v>
      </c>
      <c r="B818" s="19">
        <v>0.6269</v>
      </c>
      <c r="C818" s="19">
        <v>0.8251</v>
      </c>
      <c r="D818" s="17">
        <v>36857.53</v>
      </c>
      <c r="E818" s="19">
        <v>0.8725</v>
      </c>
      <c r="F818" s="19">
        <v>0.1016</v>
      </c>
      <c r="G818" s="17">
        <v>1860214.71</v>
      </c>
      <c r="H818" s="17">
        <v>2265892.11</v>
      </c>
      <c r="I818" s="8" t="s">
        <v>125</v>
      </c>
    </row>
    <row r="819" ht="15" customHeight="1">
      <c r="A819" s="7">
        <v>817</v>
      </c>
      <c r="B819" s="18">
        <v>0.7181</v>
      </c>
      <c r="C819" s="18">
        <v>1.2056</v>
      </c>
      <c r="D819" s="16">
        <v>32977.04</v>
      </c>
      <c r="E819" s="18">
        <v>0.8751</v>
      </c>
      <c r="F819" s="18">
        <v>0.122</v>
      </c>
      <c r="G819" s="16">
        <v>4401527.12</v>
      </c>
      <c r="H819" s="16">
        <v>5270753.51</v>
      </c>
      <c r="I819" s="7" t="s">
        <v>125</v>
      </c>
    </row>
    <row r="820" ht="15" customHeight="1">
      <c r="A820" s="8">
        <v>818</v>
      </c>
      <c r="B820" s="19">
        <v>0.7167</v>
      </c>
      <c r="C820" s="19">
        <v>0.9742</v>
      </c>
      <c r="D820" s="17">
        <v>27281.38</v>
      </c>
      <c r="E820" s="19">
        <v>0.9246</v>
      </c>
      <c r="F820" s="19">
        <v>0.0619</v>
      </c>
      <c r="G820" s="17">
        <v>3348028</v>
      </c>
      <c r="H820" s="17">
        <v>4002022.48</v>
      </c>
      <c r="I820" s="8" t="s">
        <v>125</v>
      </c>
    </row>
    <row r="821" ht="15" customHeight="1">
      <c r="A821" s="7">
        <v>819</v>
      </c>
      <c r="B821" s="18">
        <v>0.4109</v>
      </c>
      <c r="C821" s="18">
        <v>1.1641</v>
      </c>
      <c r="D821" s="16">
        <v>22530.72</v>
      </c>
      <c r="E821" s="18">
        <v>0.9429</v>
      </c>
      <c r="F821" s="18">
        <v>0.1163</v>
      </c>
      <c r="G821" s="16">
        <v>2364020.65</v>
      </c>
      <c r="H821" s="16">
        <v>2860129.68</v>
      </c>
      <c r="I821" s="7" t="s">
        <v>125</v>
      </c>
    </row>
    <row r="822" ht="15" customHeight="1">
      <c r="A822" s="8">
        <v>820</v>
      </c>
      <c r="B822" s="19">
        <v>0.4542</v>
      </c>
      <c r="C822" s="19">
        <v>0.8568</v>
      </c>
      <c r="D822" s="17">
        <v>26618.95</v>
      </c>
      <c r="E822" s="19">
        <v>0.842</v>
      </c>
      <c r="F822" s="19">
        <v>0.0946</v>
      </c>
      <c r="G822" s="17">
        <v>1237085.74</v>
      </c>
      <c r="H822" s="17">
        <v>1527027.37</v>
      </c>
      <c r="I822" s="8" t="s">
        <v>125</v>
      </c>
    </row>
    <row r="823" ht="15" customHeight="1">
      <c r="A823" s="7">
        <v>821</v>
      </c>
      <c r="B823" s="18">
        <v>0.7375</v>
      </c>
      <c r="C823" s="18">
        <v>1.157</v>
      </c>
      <c r="D823" s="16">
        <v>32578.5</v>
      </c>
      <c r="E823" s="18">
        <v>0.9109</v>
      </c>
      <c r="F823" s="18">
        <v>0.098</v>
      </c>
      <c r="G823" s="16">
        <v>4379597.32</v>
      </c>
      <c r="H823" s="16">
        <v>5233308.86</v>
      </c>
      <c r="I823" s="7" t="s">
        <v>125</v>
      </c>
    </row>
    <row r="824" ht="15" customHeight="1">
      <c r="A824" s="8">
        <v>822</v>
      </c>
      <c r="B824" s="19">
        <v>0.5128</v>
      </c>
      <c r="C824" s="19">
        <v>0.8004</v>
      </c>
      <c r="D824" s="17">
        <v>30072.98</v>
      </c>
      <c r="E824" s="19">
        <v>0.916</v>
      </c>
      <c r="F824" s="19">
        <v>0.1273</v>
      </c>
      <c r="G824" s="17">
        <v>1605974.68</v>
      </c>
      <c r="H824" s="17">
        <v>1970426.82</v>
      </c>
      <c r="I824" s="8" t="s">
        <v>125</v>
      </c>
    </row>
    <row r="825" ht="15" customHeight="1">
      <c r="A825" s="7">
        <v>823</v>
      </c>
      <c r="B825" s="18">
        <v>0.6082</v>
      </c>
      <c r="C825" s="18">
        <v>1.1707</v>
      </c>
      <c r="D825" s="16">
        <v>29994.24</v>
      </c>
      <c r="E825" s="18">
        <v>0.9463</v>
      </c>
      <c r="F825" s="18">
        <v>0.1566</v>
      </c>
      <c r="G825" s="16">
        <v>4090988.85</v>
      </c>
      <c r="H825" s="16">
        <v>4918203.39</v>
      </c>
      <c r="I825" s="7" t="s">
        <v>125</v>
      </c>
    </row>
    <row r="826" ht="15" customHeight="1">
      <c r="A826" s="8">
        <v>824</v>
      </c>
      <c r="B826" s="19">
        <v>0.5983</v>
      </c>
      <c r="C826" s="19">
        <v>0.8422</v>
      </c>
      <c r="D826" s="17">
        <v>37128.62</v>
      </c>
      <c r="E826" s="19">
        <v>0.9379</v>
      </c>
      <c r="F826" s="19">
        <v>0.1639</v>
      </c>
      <c r="G826" s="17">
        <v>2305300.26</v>
      </c>
      <c r="H826" s="17">
        <v>2810002.42</v>
      </c>
      <c r="I826" s="8" t="s">
        <v>125</v>
      </c>
    </row>
    <row r="827" ht="15" customHeight="1">
      <c r="A827" s="7">
        <v>825</v>
      </c>
      <c r="B827" s="18">
        <v>0.5754</v>
      </c>
      <c r="C827" s="18">
        <v>1.0412</v>
      </c>
      <c r="D827" s="16">
        <v>25972.79</v>
      </c>
      <c r="E827" s="18">
        <v>0.8715</v>
      </c>
      <c r="F827" s="18">
        <v>0.1212</v>
      </c>
      <c r="G827" s="16">
        <v>2820632.63</v>
      </c>
      <c r="H827" s="16">
        <v>3401710.28</v>
      </c>
      <c r="I827" s="7" t="s">
        <v>125</v>
      </c>
    </row>
    <row r="828" ht="15" customHeight="1">
      <c r="A828" s="8">
        <v>826</v>
      </c>
      <c r="B828" s="19">
        <v>0.6403</v>
      </c>
      <c r="C828" s="19">
        <v>1.2048</v>
      </c>
      <c r="D828" s="17">
        <v>30990.79</v>
      </c>
      <c r="E828" s="19">
        <v>0.9083</v>
      </c>
      <c r="F828" s="19">
        <v>0.0725</v>
      </c>
      <c r="G828" s="17">
        <v>3691602.46</v>
      </c>
      <c r="H828" s="17">
        <v>4411162.42</v>
      </c>
      <c r="I828" s="8" t="s">
        <v>125</v>
      </c>
    </row>
    <row r="829" ht="15" customHeight="1">
      <c r="A829" s="7">
        <v>827</v>
      </c>
      <c r="B829" s="18">
        <v>0.7279</v>
      </c>
      <c r="C829" s="18">
        <v>1.1444</v>
      </c>
      <c r="D829" s="16">
        <v>28212.85</v>
      </c>
      <c r="E829" s="18">
        <v>0.9309</v>
      </c>
      <c r="F829" s="18">
        <v>0.1382</v>
      </c>
      <c r="G829" s="16">
        <v>4809660.28</v>
      </c>
      <c r="H829" s="16">
        <v>5759077.92</v>
      </c>
      <c r="I829" s="7" t="s">
        <v>125</v>
      </c>
    </row>
    <row r="830" ht="15" customHeight="1">
      <c r="A830" s="8">
        <v>828</v>
      </c>
      <c r="B830" s="19">
        <v>0.4517</v>
      </c>
      <c r="C830" s="19">
        <v>1.1662</v>
      </c>
      <c r="D830" s="17">
        <v>27573.66</v>
      </c>
      <c r="E830" s="19">
        <v>0.84</v>
      </c>
      <c r="F830" s="19">
        <v>0.1157</v>
      </c>
      <c r="G830" s="17">
        <v>2141786.41</v>
      </c>
      <c r="H830" s="17">
        <v>2599235.17</v>
      </c>
      <c r="I830" s="8" t="s">
        <v>125</v>
      </c>
    </row>
    <row r="831" ht="15" customHeight="1">
      <c r="A831" s="7">
        <v>829</v>
      </c>
      <c r="B831" s="18">
        <v>0.7125</v>
      </c>
      <c r="C831" s="18">
        <v>0.7198</v>
      </c>
      <c r="D831" s="16">
        <v>27373.57</v>
      </c>
      <c r="E831" s="18">
        <v>0.8305</v>
      </c>
      <c r="F831" s="18">
        <v>0.1001</v>
      </c>
      <c r="G831" s="16">
        <v>1957853.21</v>
      </c>
      <c r="H831" s="16">
        <v>2378017.47</v>
      </c>
      <c r="I831" s="7" t="s">
        <v>125</v>
      </c>
    </row>
    <row r="832" ht="15" customHeight="1">
      <c r="A832" s="8">
        <v>830</v>
      </c>
      <c r="B832" s="19">
        <v>0.7</v>
      </c>
      <c r="C832" s="19">
        <v>1.211</v>
      </c>
      <c r="D832" s="17">
        <v>19734.34</v>
      </c>
      <c r="E832" s="19">
        <v>0.916</v>
      </c>
      <c r="F832" s="19">
        <v>0.0173</v>
      </c>
      <c r="G832" s="17">
        <v>4180924.43</v>
      </c>
      <c r="H832" s="17">
        <v>4959650.58</v>
      </c>
      <c r="I832" s="8" t="s">
        <v>125</v>
      </c>
    </row>
    <row r="833" ht="15" customHeight="1">
      <c r="A833" s="7">
        <v>831</v>
      </c>
      <c r="B833" s="18">
        <v>0.7073</v>
      </c>
      <c r="C833" s="18">
        <v>0.9579</v>
      </c>
      <c r="D833" s="16">
        <v>23017.74</v>
      </c>
      <c r="E833" s="18">
        <v>0.9295</v>
      </c>
      <c r="F833" s="18">
        <v>0.062</v>
      </c>
      <c r="G833" s="16">
        <v>3369599.87</v>
      </c>
      <c r="H833" s="16">
        <v>4026720.84</v>
      </c>
      <c r="I833" s="7" t="s">
        <v>125</v>
      </c>
    </row>
    <row r="834" ht="15" customHeight="1">
      <c r="A834" s="8">
        <v>832</v>
      </c>
      <c r="B834" s="19">
        <v>0.4861</v>
      </c>
      <c r="C834" s="19">
        <v>0.7624</v>
      </c>
      <c r="D834" s="17">
        <v>29884.09</v>
      </c>
      <c r="E834" s="19">
        <v>0.8931</v>
      </c>
      <c r="F834" s="19">
        <v>0.1255</v>
      </c>
      <c r="G834" s="17">
        <v>1261350.45</v>
      </c>
      <c r="H834" s="17">
        <v>1562961.08</v>
      </c>
      <c r="I834" s="8" t="s">
        <v>125</v>
      </c>
    </row>
    <row r="835" ht="15" customHeight="1">
      <c r="A835" s="7">
        <v>833</v>
      </c>
      <c r="B835" s="18">
        <v>0.4873</v>
      </c>
      <c r="C835" s="18">
        <v>0.7905</v>
      </c>
      <c r="D835" s="16">
        <v>33009.26</v>
      </c>
      <c r="E835" s="18">
        <v>0.8477</v>
      </c>
      <c r="F835" s="18">
        <v>0.1801</v>
      </c>
      <c r="G835" s="16">
        <v>1313181.28</v>
      </c>
      <c r="H835" s="16">
        <v>1636921.93</v>
      </c>
      <c r="I835" s="7" t="s">
        <v>125</v>
      </c>
    </row>
    <row r="836" ht="15" customHeight="1">
      <c r="A836" s="8">
        <v>834</v>
      </c>
      <c r="B836" s="19">
        <v>0.4074</v>
      </c>
      <c r="C836" s="19">
        <v>0.697</v>
      </c>
      <c r="D836" s="17">
        <v>35039.62</v>
      </c>
      <c r="E836" s="19">
        <v>0.9308</v>
      </c>
      <c r="F836" s="19">
        <v>0.1357</v>
      </c>
      <c r="G836" s="17">
        <v>619826.42</v>
      </c>
      <c r="H836" s="17">
        <v>808760.99</v>
      </c>
      <c r="I836" s="8" t="s">
        <v>125</v>
      </c>
    </row>
    <row r="837" ht="15" customHeight="1">
      <c r="A837" s="7">
        <v>835</v>
      </c>
      <c r="B837" s="18">
        <v>0.5868</v>
      </c>
      <c r="C837" s="18">
        <v>1.0478</v>
      </c>
      <c r="D837" s="16">
        <v>30954.89</v>
      </c>
      <c r="E837" s="18">
        <v>0.8308</v>
      </c>
      <c r="F837" s="18">
        <v>0.1091</v>
      </c>
      <c r="G837" s="16">
        <v>2520559.05</v>
      </c>
      <c r="H837" s="16">
        <v>3045220.8</v>
      </c>
      <c r="I837" s="7" t="s">
        <v>125</v>
      </c>
    </row>
    <row r="838" ht="15" customHeight="1">
      <c r="A838" s="8">
        <v>836</v>
      </c>
      <c r="B838" s="19">
        <v>0.5712</v>
      </c>
      <c r="C838" s="19">
        <v>1.1581</v>
      </c>
      <c r="D838" s="17">
        <v>29088.94</v>
      </c>
      <c r="E838" s="19">
        <v>0.9221</v>
      </c>
      <c r="F838" s="19">
        <v>0.1007</v>
      </c>
      <c r="G838" s="17">
        <v>3269483.18</v>
      </c>
      <c r="H838" s="17">
        <v>3924927.51</v>
      </c>
      <c r="I838" s="8" t="s">
        <v>125</v>
      </c>
    </row>
    <row r="839" ht="15" customHeight="1">
      <c r="A839" s="7">
        <v>837</v>
      </c>
      <c r="B839" s="18">
        <v>0.5547</v>
      </c>
      <c r="C839" s="18">
        <v>0.9557</v>
      </c>
      <c r="D839" s="16">
        <v>26493.12</v>
      </c>
      <c r="E839" s="18">
        <v>0.953</v>
      </c>
      <c r="F839" s="18">
        <v>0.0799</v>
      </c>
      <c r="G839" s="16">
        <v>2472537.61</v>
      </c>
      <c r="H839" s="16">
        <v>2978302.76</v>
      </c>
      <c r="I839" s="7" t="s">
        <v>125</v>
      </c>
    </row>
    <row r="840" ht="15" customHeight="1">
      <c r="A840" s="8">
        <v>838</v>
      </c>
      <c r="B840" s="19">
        <v>0.4185</v>
      </c>
      <c r="C840" s="19">
        <v>1.1174</v>
      </c>
      <c r="D840" s="17">
        <v>27369.83</v>
      </c>
      <c r="E840" s="19">
        <v>0.9015</v>
      </c>
      <c r="F840" s="19">
        <v>0.1267</v>
      </c>
      <c r="G840" s="17">
        <v>2036521.94</v>
      </c>
      <c r="H840" s="17">
        <v>2477876.31</v>
      </c>
      <c r="I840" s="8" t="s">
        <v>125</v>
      </c>
    </row>
    <row r="841" ht="15" customHeight="1">
      <c r="A841" s="7">
        <v>839</v>
      </c>
      <c r="B841" s="18">
        <v>0.6357</v>
      </c>
      <c r="C841" s="18">
        <v>0.9865</v>
      </c>
      <c r="D841" s="16">
        <v>25173.12</v>
      </c>
      <c r="E841" s="18">
        <v>0.9311</v>
      </c>
      <c r="F841" s="18">
        <v>0.069</v>
      </c>
      <c r="G841" s="16">
        <v>3019178.5</v>
      </c>
      <c r="H841" s="16">
        <v>3617645</v>
      </c>
      <c r="I841" s="7" t="s">
        <v>125</v>
      </c>
    </row>
    <row r="842" ht="15" customHeight="1">
      <c r="A842" s="8">
        <v>840</v>
      </c>
      <c r="B842" s="19">
        <v>0.4524</v>
      </c>
      <c r="C842" s="19">
        <v>0.9562</v>
      </c>
      <c r="D842" s="17">
        <v>29059.1</v>
      </c>
      <c r="E842" s="19">
        <v>0.8307</v>
      </c>
      <c r="F842" s="19">
        <v>0.0824</v>
      </c>
      <c r="G842" s="17">
        <v>1352263.69</v>
      </c>
      <c r="H842" s="17">
        <v>1660696.19</v>
      </c>
      <c r="I842" s="8" t="s">
        <v>125</v>
      </c>
    </row>
    <row r="843" ht="15" customHeight="1">
      <c r="A843" s="7">
        <v>841</v>
      </c>
      <c r="B843" s="18">
        <v>0.3345</v>
      </c>
      <c r="C843" s="18">
        <v>0.9648</v>
      </c>
      <c r="D843" s="16">
        <v>21609.18</v>
      </c>
      <c r="E843" s="18">
        <v>0.8484</v>
      </c>
      <c r="F843" s="18">
        <v>0.0971</v>
      </c>
      <c r="G843" s="16">
        <v>1002205.65</v>
      </c>
      <c r="H843" s="16">
        <v>1249383.76</v>
      </c>
      <c r="I843" s="7" t="s">
        <v>125</v>
      </c>
    </row>
    <row r="844" ht="15" customHeight="1">
      <c r="A844" s="8">
        <v>842</v>
      </c>
      <c r="B844" s="19">
        <v>0.3511</v>
      </c>
      <c r="C844" s="19">
        <v>1.038</v>
      </c>
      <c r="D844" s="17">
        <v>20853.07</v>
      </c>
      <c r="E844" s="19">
        <v>0.9479</v>
      </c>
      <c r="F844" s="19">
        <v>0.0833</v>
      </c>
      <c r="G844" s="17">
        <v>1507226</v>
      </c>
      <c r="H844" s="17">
        <v>1841496.65</v>
      </c>
      <c r="I844" s="8" t="s">
        <v>125</v>
      </c>
    </row>
    <row r="845" ht="15" customHeight="1">
      <c r="A845" s="7">
        <v>843</v>
      </c>
      <c r="B845" s="18">
        <v>0.5023</v>
      </c>
      <c r="C845" s="18">
        <v>1.1331</v>
      </c>
      <c r="D845" s="16">
        <v>25080.62</v>
      </c>
      <c r="E845" s="18">
        <v>0.8908</v>
      </c>
      <c r="F845" s="18">
        <v>0.0534</v>
      </c>
      <c r="G845" s="16">
        <v>2401839.96</v>
      </c>
      <c r="H845" s="16">
        <v>2886715.32</v>
      </c>
      <c r="I845" s="7" t="s">
        <v>125</v>
      </c>
    </row>
    <row r="846" ht="15" customHeight="1">
      <c r="A846" s="8">
        <v>844</v>
      </c>
      <c r="B846" s="19">
        <v>0.768</v>
      </c>
      <c r="C846" s="19">
        <v>0.9166</v>
      </c>
      <c r="D846" s="17">
        <v>29162.09</v>
      </c>
      <c r="E846" s="19">
        <v>0.9324</v>
      </c>
      <c r="F846" s="19">
        <v>0.0628</v>
      </c>
      <c r="G846" s="17">
        <v>3372526.09</v>
      </c>
      <c r="H846" s="17">
        <v>4031529.66</v>
      </c>
      <c r="I846" s="8" t="s">
        <v>125</v>
      </c>
    </row>
    <row r="847" ht="15" customHeight="1">
      <c r="A847" s="7">
        <v>845</v>
      </c>
      <c r="B847" s="18">
        <v>0.552</v>
      </c>
      <c r="C847" s="18">
        <v>0.8082</v>
      </c>
      <c r="D847" s="16">
        <v>32597.77</v>
      </c>
      <c r="E847" s="18">
        <v>0.9205</v>
      </c>
      <c r="F847" s="18">
        <v>0.0037</v>
      </c>
      <c r="G847" s="16">
        <v>1313984.98</v>
      </c>
      <c r="H847" s="16">
        <v>1597907.23</v>
      </c>
      <c r="I847" s="7" t="s">
        <v>125</v>
      </c>
    </row>
    <row r="848" ht="15" customHeight="1">
      <c r="A848" s="8">
        <v>846</v>
      </c>
      <c r="B848" s="19">
        <v>0.4929</v>
      </c>
      <c r="C848" s="19">
        <v>0.7458</v>
      </c>
      <c r="D848" s="17">
        <v>30248.34</v>
      </c>
      <c r="E848" s="19">
        <v>0.9247</v>
      </c>
      <c r="F848" s="19">
        <v>0.1033</v>
      </c>
      <c r="G848" s="17">
        <v>1243865.38</v>
      </c>
      <c r="H848" s="17">
        <v>1537788.17</v>
      </c>
      <c r="I848" s="8" t="s">
        <v>125</v>
      </c>
    </row>
    <row r="849" ht="15" customHeight="1">
      <c r="A849" s="7">
        <v>847</v>
      </c>
      <c r="B849" s="18">
        <v>0.4391</v>
      </c>
      <c r="C849" s="18">
        <v>0.9392</v>
      </c>
      <c r="D849" s="16">
        <v>30320.64</v>
      </c>
      <c r="E849" s="18">
        <v>0.9254</v>
      </c>
      <c r="F849" s="18">
        <v>0.0512</v>
      </c>
      <c r="G849" s="16">
        <v>1361427.76</v>
      </c>
      <c r="H849" s="16">
        <v>1664631.95</v>
      </c>
      <c r="I849" s="7" t="s">
        <v>125</v>
      </c>
    </row>
    <row r="850" ht="15" customHeight="1">
      <c r="A850" s="8">
        <v>848</v>
      </c>
      <c r="B850" s="19">
        <v>0.6246</v>
      </c>
      <c r="C850" s="19">
        <v>0.8452</v>
      </c>
      <c r="D850" s="17">
        <v>30903.69</v>
      </c>
      <c r="E850" s="19">
        <v>0.8937</v>
      </c>
      <c r="F850" s="19">
        <v>0.0807</v>
      </c>
      <c r="G850" s="17">
        <v>2099988.25</v>
      </c>
      <c r="H850" s="17">
        <v>2540951.26</v>
      </c>
      <c r="I850" s="8" t="s">
        <v>125</v>
      </c>
    </row>
    <row r="851" ht="15" customHeight="1">
      <c r="A851" s="7">
        <v>849</v>
      </c>
      <c r="B851" s="18">
        <v>0.7356</v>
      </c>
      <c r="C851" s="18">
        <v>1.1837</v>
      </c>
      <c r="D851" s="16">
        <v>35293.39</v>
      </c>
      <c r="E851" s="18">
        <v>0.8438</v>
      </c>
      <c r="F851" s="18">
        <v>0.1444</v>
      </c>
      <c r="G851" s="16">
        <v>4321309.67</v>
      </c>
      <c r="H851" s="16">
        <v>5187313.43</v>
      </c>
      <c r="I851" s="7" t="s">
        <v>125</v>
      </c>
    </row>
    <row r="852" ht="15" customHeight="1">
      <c r="A852" s="8">
        <v>850</v>
      </c>
      <c r="B852" s="19">
        <v>0.6781</v>
      </c>
      <c r="C852" s="19">
        <v>0.9291</v>
      </c>
      <c r="D852" s="17">
        <v>32846.97</v>
      </c>
      <c r="E852" s="19">
        <v>0.918</v>
      </c>
      <c r="F852" s="19">
        <v>0.2356</v>
      </c>
      <c r="G852" s="17">
        <v>3727729.79</v>
      </c>
      <c r="H852" s="17">
        <v>4520482.31</v>
      </c>
      <c r="I852" s="8" t="s">
        <v>125</v>
      </c>
    </row>
    <row r="853" ht="15" customHeight="1">
      <c r="A853" s="7">
        <v>851</v>
      </c>
      <c r="B853" s="18">
        <v>0.5499</v>
      </c>
      <c r="C853" s="18">
        <v>0.9371</v>
      </c>
      <c r="D853" s="16">
        <v>19540.99</v>
      </c>
      <c r="E853" s="18">
        <v>0.9288</v>
      </c>
      <c r="F853" s="18">
        <v>0.1328</v>
      </c>
      <c r="G853" s="16">
        <v>2743484.66</v>
      </c>
      <c r="H853" s="16">
        <v>3312037.78</v>
      </c>
      <c r="I853" s="7" t="s">
        <v>125</v>
      </c>
    </row>
    <row r="854" ht="15" customHeight="1">
      <c r="A854" s="8">
        <v>852</v>
      </c>
      <c r="B854" s="19">
        <v>0.7165</v>
      </c>
      <c r="C854" s="19">
        <v>0.9577</v>
      </c>
      <c r="D854" s="17">
        <v>21946.33</v>
      </c>
      <c r="E854" s="19">
        <v>0.8527</v>
      </c>
      <c r="F854" s="19">
        <v>0.124</v>
      </c>
      <c r="G854" s="17">
        <v>3440452.2</v>
      </c>
      <c r="H854" s="17">
        <v>4133202.23</v>
      </c>
      <c r="I854" s="8" t="s">
        <v>125</v>
      </c>
    </row>
    <row r="855" ht="15" customHeight="1">
      <c r="A855" s="7">
        <v>853</v>
      </c>
      <c r="B855" s="18">
        <v>0.6049</v>
      </c>
      <c r="C855" s="18">
        <v>0.8981</v>
      </c>
      <c r="D855" s="16">
        <v>18761.1</v>
      </c>
      <c r="E855" s="18">
        <v>0.9084</v>
      </c>
      <c r="F855" s="18">
        <v>0.1367</v>
      </c>
      <c r="G855" s="16">
        <v>2901645.66</v>
      </c>
      <c r="H855" s="16">
        <v>3499848.03</v>
      </c>
      <c r="I855" s="7" t="s">
        <v>125</v>
      </c>
    </row>
    <row r="856" ht="15" customHeight="1">
      <c r="A856" s="8">
        <v>854</v>
      </c>
      <c r="B856" s="19">
        <v>0.5486</v>
      </c>
      <c r="C856" s="19">
        <v>1.0582</v>
      </c>
      <c r="D856" s="17">
        <v>28208.25</v>
      </c>
      <c r="E856" s="19">
        <v>0.9079</v>
      </c>
      <c r="F856" s="19">
        <v>0.0432</v>
      </c>
      <c r="G856" s="17">
        <v>2394549.1</v>
      </c>
      <c r="H856" s="17">
        <v>2875394.17</v>
      </c>
      <c r="I856" s="8" t="s">
        <v>125</v>
      </c>
    </row>
    <row r="857" ht="15" customHeight="1">
      <c r="A857" s="7">
        <v>855</v>
      </c>
      <c r="B857" s="18">
        <v>0.6103</v>
      </c>
      <c r="C857" s="18">
        <v>0.8571</v>
      </c>
      <c r="D857" s="16">
        <v>32299.08</v>
      </c>
      <c r="E857" s="18">
        <v>0.8994</v>
      </c>
      <c r="F857" s="18">
        <v>0.1345</v>
      </c>
      <c r="G857" s="16">
        <v>2295464.15</v>
      </c>
      <c r="H857" s="16">
        <v>2787685.75</v>
      </c>
      <c r="I857" s="7" t="s">
        <v>125</v>
      </c>
    </row>
    <row r="858" ht="15" customHeight="1">
      <c r="A858" s="8">
        <v>856</v>
      </c>
      <c r="B858" s="19">
        <v>0.3239</v>
      </c>
      <c r="C858" s="19">
        <v>1.0256</v>
      </c>
      <c r="D858" s="17">
        <v>26117.64</v>
      </c>
      <c r="E858" s="19">
        <v>0.9102</v>
      </c>
      <c r="F858" s="19">
        <v>0.1301</v>
      </c>
      <c r="G858" s="17">
        <v>1172197.88</v>
      </c>
      <c r="H858" s="17">
        <v>1457284.09</v>
      </c>
      <c r="I858" s="8" t="s">
        <v>125</v>
      </c>
    </row>
    <row r="859" ht="15" customHeight="1">
      <c r="A859" s="7">
        <v>857</v>
      </c>
      <c r="B859" s="18">
        <v>0.832</v>
      </c>
      <c r="C859" s="18">
        <v>0.9733</v>
      </c>
      <c r="D859" s="16">
        <v>21426.21</v>
      </c>
      <c r="E859" s="18">
        <v>0.9147</v>
      </c>
      <c r="F859" s="18">
        <v>0.0451</v>
      </c>
      <c r="G859" s="16">
        <v>4080445.53</v>
      </c>
      <c r="H859" s="16">
        <v>4854607.97</v>
      </c>
      <c r="I859" s="7" t="s">
        <v>125</v>
      </c>
    </row>
    <row r="860" ht="15" customHeight="1">
      <c r="A860" s="8">
        <v>858</v>
      </c>
      <c r="B860" s="19">
        <v>0.5581</v>
      </c>
      <c r="C860" s="19">
        <v>1.1602</v>
      </c>
      <c r="D860" s="17">
        <v>20327.13</v>
      </c>
      <c r="E860" s="19">
        <v>0.9112</v>
      </c>
      <c r="F860" s="19">
        <v>0.0349</v>
      </c>
      <c r="G860" s="17">
        <v>3023097.61</v>
      </c>
      <c r="H860" s="17">
        <v>3609389.49</v>
      </c>
      <c r="I860" s="8" t="s">
        <v>125</v>
      </c>
    </row>
    <row r="861" ht="15" customHeight="1">
      <c r="A861" s="7">
        <v>859</v>
      </c>
      <c r="B861" s="18">
        <v>0.4397</v>
      </c>
      <c r="C861" s="18">
        <v>1.0903</v>
      </c>
      <c r="D861" s="16">
        <v>30772.69</v>
      </c>
      <c r="E861" s="18">
        <v>0.843</v>
      </c>
      <c r="F861" s="18">
        <v>0.1212</v>
      </c>
      <c r="G861" s="16">
        <v>1776288.85</v>
      </c>
      <c r="H861" s="16">
        <v>2170292.64</v>
      </c>
      <c r="I861" s="7" t="s">
        <v>125</v>
      </c>
    </row>
    <row r="862" ht="15" customHeight="1">
      <c r="A862" s="8">
        <v>860</v>
      </c>
      <c r="B862" s="19">
        <v>0.6112</v>
      </c>
      <c r="C862" s="19">
        <v>0.9336</v>
      </c>
      <c r="D862" s="17">
        <v>38305.15</v>
      </c>
      <c r="E862" s="19">
        <v>0.8914</v>
      </c>
      <c r="F862" s="19">
        <v>0.1301</v>
      </c>
      <c r="G862" s="17">
        <v>2383990.88</v>
      </c>
      <c r="H862" s="17">
        <v>2893048.21</v>
      </c>
      <c r="I862" s="8" t="s">
        <v>125</v>
      </c>
    </row>
    <row r="863" ht="15" customHeight="1">
      <c r="A863" s="7">
        <v>861</v>
      </c>
      <c r="B863" s="18">
        <v>0.4529</v>
      </c>
      <c r="C863" s="18">
        <v>1.2635</v>
      </c>
      <c r="D863" s="16">
        <v>33581.89</v>
      </c>
      <c r="E863" s="18">
        <v>0.8318</v>
      </c>
      <c r="F863" s="18">
        <v>0.027</v>
      </c>
      <c r="G863" s="16">
        <v>1808427.77</v>
      </c>
      <c r="H863" s="16">
        <v>2183335.12</v>
      </c>
      <c r="I863" s="7" t="s">
        <v>125</v>
      </c>
    </row>
    <row r="864" ht="15" customHeight="1">
      <c r="A864" s="8">
        <v>862</v>
      </c>
      <c r="B864" s="19">
        <v>0.4522</v>
      </c>
      <c r="C864" s="19">
        <v>1.066</v>
      </c>
      <c r="D864" s="17">
        <v>31662.11</v>
      </c>
      <c r="E864" s="19">
        <v>0.8633</v>
      </c>
      <c r="F864" s="19">
        <v>0.1774</v>
      </c>
      <c r="G864" s="17">
        <v>2078272.68</v>
      </c>
      <c r="H864" s="17">
        <v>2542462.56</v>
      </c>
      <c r="I864" s="8" t="s">
        <v>125</v>
      </c>
    </row>
    <row r="865" ht="15" customHeight="1">
      <c r="A865" s="7">
        <v>863</v>
      </c>
      <c r="B865" s="18">
        <v>0.4859</v>
      </c>
      <c r="C865" s="18">
        <v>1.118</v>
      </c>
      <c r="D865" s="16">
        <v>24695.09</v>
      </c>
      <c r="E865" s="18">
        <v>0.9358</v>
      </c>
      <c r="F865" s="18">
        <v>0.1338</v>
      </c>
      <c r="G865" s="16">
        <v>2819597.77</v>
      </c>
      <c r="H865" s="16">
        <v>3404111.03</v>
      </c>
      <c r="I865" s="7" t="s">
        <v>125</v>
      </c>
    </row>
    <row r="866" ht="15" customHeight="1">
      <c r="A866" s="8">
        <v>864</v>
      </c>
      <c r="B866" s="19">
        <v>0.4152</v>
      </c>
      <c r="C866" s="19">
        <v>0.822</v>
      </c>
      <c r="D866" s="17">
        <v>16982.33</v>
      </c>
      <c r="E866" s="19">
        <v>0.9259</v>
      </c>
      <c r="F866" s="19">
        <v>0.071</v>
      </c>
      <c r="G866" s="17">
        <v>1376124.56</v>
      </c>
      <c r="H866" s="17">
        <v>1683890.21</v>
      </c>
      <c r="I866" s="8" t="s">
        <v>125</v>
      </c>
    </row>
    <row r="867" ht="15" customHeight="1">
      <c r="A867" s="7">
        <v>865</v>
      </c>
      <c r="B867" s="18">
        <v>0.3791</v>
      </c>
      <c r="C867" s="18">
        <v>1.0088</v>
      </c>
      <c r="D867" s="16">
        <v>31820.94</v>
      </c>
      <c r="E867" s="18">
        <v>0.9333</v>
      </c>
      <c r="F867" s="18">
        <v>0.1208</v>
      </c>
      <c r="G867" s="16">
        <v>1383249.89</v>
      </c>
      <c r="H867" s="16">
        <v>1706513.26</v>
      </c>
      <c r="I867" s="7" t="s">
        <v>125</v>
      </c>
    </row>
    <row r="868" ht="15" customHeight="1">
      <c r="A868" s="8">
        <v>866</v>
      </c>
      <c r="B868" s="19">
        <v>0.4785</v>
      </c>
      <c r="C868" s="19">
        <v>1.0362</v>
      </c>
      <c r="D868" s="17">
        <v>34782.85</v>
      </c>
      <c r="E868" s="19">
        <v>0.8098</v>
      </c>
      <c r="F868" s="19">
        <v>0.0538</v>
      </c>
      <c r="G868" s="17">
        <v>1371251.41</v>
      </c>
      <c r="H868" s="17">
        <v>1677435.95</v>
      </c>
      <c r="I868" s="8" t="s">
        <v>125</v>
      </c>
    </row>
    <row r="869" ht="15" customHeight="1">
      <c r="A869" s="7">
        <v>867</v>
      </c>
      <c r="B869" s="18">
        <v>0.4038</v>
      </c>
      <c r="C869" s="18">
        <v>1.1043</v>
      </c>
      <c r="D869" s="16">
        <v>27634.73</v>
      </c>
      <c r="E869" s="18">
        <v>0.866</v>
      </c>
      <c r="F869" s="18">
        <v>0.019</v>
      </c>
      <c r="G869" s="16">
        <v>1360647.33</v>
      </c>
      <c r="H869" s="16">
        <v>1656033.75</v>
      </c>
      <c r="I869" s="7" t="s">
        <v>125</v>
      </c>
    </row>
    <row r="870" ht="15" customHeight="1">
      <c r="A870" s="8">
        <v>868</v>
      </c>
      <c r="B870" s="19">
        <v>0.5794</v>
      </c>
      <c r="C870" s="19">
        <v>0.9366</v>
      </c>
      <c r="D870" s="17">
        <v>33597.28</v>
      </c>
      <c r="E870" s="19">
        <v>0.9264</v>
      </c>
      <c r="F870" s="19">
        <v>0.0817</v>
      </c>
      <c r="G870" s="17">
        <v>2243758.98</v>
      </c>
      <c r="H870" s="17">
        <v>2711088.8</v>
      </c>
      <c r="I870" s="8" t="s">
        <v>125</v>
      </c>
    </row>
    <row r="871" ht="15" customHeight="1">
      <c r="A871" s="7">
        <v>869</v>
      </c>
      <c r="B871" s="18">
        <v>0.605</v>
      </c>
      <c r="C871" s="18">
        <v>1.0573</v>
      </c>
      <c r="D871" s="16">
        <v>24775.5</v>
      </c>
      <c r="E871" s="18">
        <v>0.8442</v>
      </c>
      <c r="F871" s="18">
        <v>0.1668</v>
      </c>
      <c r="G871" s="16">
        <v>3243150.82</v>
      </c>
      <c r="H871" s="16">
        <v>3916166.6</v>
      </c>
      <c r="I871" s="7" t="s">
        <v>125</v>
      </c>
    </row>
    <row r="872" ht="15" customHeight="1">
      <c r="A872" s="8">
        <v>870</v>
      </c>
      <c r="B872" s="19">
        <v>0.6947</v>
      </c>
      <c r="C872" s="19">
        <v>1.2127</v>
      </c>
      <c r="D872" s="17">
        <v>26506.33</v>
      </c>
      <c r="E872" s="19">
        <v>0.8509</v>
      </c>
      <c r="F872" s="19">
        <v>0.0958</v>
      </c>
      <c r="G872" s="17">
        <v>4105609.18</v>
      </c>
      <c r="H872" s="17">
        <v>4907798.06</v>
      </c>
      <c r="I872" s="8" t="s">
        <v>125</v>
      </c>
    </row>
    <row r="873" ht="15" customHeight="1">
      <c r="A873" s="7">
        <v>871</v>
      </c>
      <c r="B873" s="18">
        <v>0.7619</v>
      </c>
      <c r="C873" s="18">
        <v>1.064</v>
      </c>
      <c r="D873" s="16">
        <v>26524.31</v>
      </c>
      <c r="E873" s="18">
        <v>0.9401</v>
      </c>
      <c r="F873" s="18">
        <v>0.1164</v>
      </c>
      <c r="G873" s="16">
        <v>4592065.52</v>
      </c>
      <c r="H873" s="16">
        <v>5490980.89</v>
      </c>
      <c r="I873" s="7" t="s">
        <v>125</v>
      </c>
    </row>
    <row r="874" ht="15" customHeight="1">
      <c r="A874" s="8">
        <v>872</v>
      </c>
      <c r="B874" s="19">
        <v>0.6348</v>
      </c>
      <c r="C874" s="19">
        <v>1.1904</v>
      </c>
      <c r="D874" s="17">
        <v>28355.02</v>
      </c>
      <c r="E874" s="19">
        <v>0.8884</v>
      </c>
      <c r="F874" s="19">
        <v>0.0605</v>
      </c>
      <c r="G874" s="17">
        <v>3487311.75</v>
      </c>
      <c r="H874" s="17">
        <v>4165399.13</v>
      </c>
      <c r="I874" s="8" t="s">
        <v>125</v>
      </c>
    </row>
    <row r="875" ht="15" customHeight="1">
      <c r="A875" s="7">
        <v>873</v>
      </c>
      <c r="B875" s="18">
        <v>0.6779</v>
      </c>
      <c r="C875" s="18">
        <v>1.0171</v>
      </c>
      <c r="D875" s="16">
        <v>26335.41</v>
      </c>
      <c r="E875" s="18">
        <v>0.8781</v>
      </c>
      <c r="F875" s="18">
        <v>0.1525</v>
      </c>
      <c r="G875" s="16">
        <v>3633625.43</v>
      </c>
      <c r="H875" s="16">
        <v>4373843.75</v>
      </c>
      <c r="I875" s="7" t="s">
        <v>125</v>
      </c>
    </row>
    <row r="876" ht="15" customHeight="1">
      <c r="A876" s="8">
        <v>874</v>
      </c>
      <c r="B876" s="19">
        <v>0.5823</v>
      </c>
      <c r="C876" s="19">
        <v>0.8387</v>
      </c>
      <c r="D876" s="17">
        <v>28080.15</v>
      </c>
      <c r="E876" s="19">
        <v>0.8349</v>
      </c>
      <c r="F876" s="19">
        <v>0.0997</v>
      </c>
      <c r="G876" s="17">
        <v>1799663.87</v>
      </c>
      <c r="H876" s="17">
        <v>2191636.48</v>
      </c>
      <c r="I876" s="8" t="s">
        <v>125</v>
      </c>
    </row>
    <row r="877" ht="15" customHeight="1">
      <c r="A877" s="7">
        <v>875</v>
      </c>
      <c r="B877" s="18">
        <v>0.8061</v>
      </c>
      <c r="C877" s="18">
        <v>0.791</v>
      </c>
      <c r="D877" s="16">
        <v>34786.06</v>
      </c>
      <c r="E877" s="18">
        <v>0.9549</v>
      </c>
      <c r="F877" s="18">
        <v>0.0765</v>
      </c>
      <c r="G877" s="16">
        <v>2943998.9</v>
      </c>
      <c r="H877" s="16">
        <v>3533836.36</v>
      </c>
      <c r="I877" s="7" t="s">
        <v>125</v>
      </c>
    </row>
    <row r="878" ht="15" customHeight="1">
      <c r="A878" s="8">
        <v>876</v>
      </c>
      <c r="B878" s="19">
        <v>0.7037</v>
      </c>
      <c r="C878" s="19">
        <v>1.057</v>
      </c>
      <c r="D878" s="17">
        <v>24527.3</v>
      </c>
      <c r="E878" s="19">
        <v>0.8988</v>
      </c>
      <c r="F878" s="19">
        <v>0.1799</v>
      </c>
      <c r="G878" s="17">
        <v>4378532.04</v>
      </c>
      <c r="H878" s="17">
        <v>5266339.83</v>
      </c>
      <c r="I878" s="8" t="s">
        <v>125</v>
      </c>
    </row>
    <row r="879" ht="15" customHeight="1">
      <c r="A879" s="7">
        <v>877</v>
      </c>
      <c r="B879" s="18">
        <v>0.579</v>
      </c>
      <c r="C879" s="18">
        <v>0.9237</v>
      </c>
      <c r="D879" s="16">
        <v>24803.01</v>
      </c>
      <c r="E879" s="18">
        <v>0.9279</v>
      </c>
      <c r="F879" s="18">
        <v>0.1379</v>
      </c>
      <c r="G879" s="16">
        <v>2742694.32</v>
      </c>
      <c r="H879" s="16">
        <v>3314554.85</v>
      </c>
      <c r="I879" s="7" t="s">
        <v>125</v>
      </c>
    </row>
    <row r="880" ht="15" customHeight="1">
      <c r="A880" s="8">
        <v>878</v>
      </c>
      <c r="B880" s="19">
        <v>0.4517</v>
      </c>
      <c r="C880" s="19">
        <v>0.8873</v>
      </c>
      <c r="D880" s="17">
        <v>33577.84</v>
      </c>
      <c r="E880" s="19">
        <v>0.9301</v>
      </c>
      <c r="F880" s="19">
        <v>0.1147</v>
      </c>
      <c r="G880" s="17">
        <v>1427272.01</v>
      </c>
      <c r="H880" s="17">
        <v>1757633.1</v>
      </c>
      <c r="I880" s="8" t="s">
        <v>125</v>
      </c>
    </row>
    <row r="881" ht="15" customHeight="1">
      <c r="A881" s="7">
        <v>879</v>
      </c>
      <c r="B881" s="18">
        <v>0.7543</v>
      </c>
      <c r="C881" s="18">
        <v>1.0535</v>
      </c>
      <c r="D881" s="16">
        <v>21401.61</v>
      </c>
      <c r="E881" s="18">
        <v>0.8734</v>
      </c>
      <c r="F881" s="18">
        <v>0.1092</v>
      </c>
      <c r="G881" s="16">
        <v>4187027.01</v>
      </c>
      <c r="H881" s="16">
        <v>5008263.61</v>
      </c>
      <c r="I881" s="7" t="s">
        <v>125</v>
      </c>
    </row>
    <row r="882" ht="15" customHeight="1">
      <c r="A882" s="8">
        <v>880</v>
      </c>
      <c r="B882" s="19">
        <v>0.3685</v>
      </c>
      <c r="C882" s="19">
        <v>1.0169</v>
      </c>
      <c r="D882" s="17">
        <v>20783.92</v>
      </c>
      <c r="E882" s="19">
        <v>0.8758</v>
      </c>
      <c r="F882" s="19">
        <v>0.0148</v>
      </c>
      <c r="G882" s="17">
        <v>1174523.96</v>
      </c>
      <c r="H882" s="17">
        <v>1436741.25</v>
      </c>
      <c r="I882" s="8" t="s">
        <v>125</v>
      </c>
    </row>
    <row r="883" ht="15" customHeight="1">
      <c r="A883" s="7">
        <v>881</v>
      </c>
      <c r="B883" s="18">
        <v>0.644</v>
      </c>
      <c r="C883" s="18">
        <v>0.9892</v>
      </c>
      <c r="D883" s="16">
        <v>28498.61</v>
      </c>
      <c r="E883" s="18">
        <v>0.9479</v>
      </c>
      <c r="F883" s="18">
        <v>-0.0088</v>
      </c>
      <c r="G883" s="16">
        <v>2627329.02</v>
      </c>
      <c r="H883" s="16">
        <v>3130606.36</v>
      </c>
      <c r="I883" s="7" t="s">
        <v>125</v>
      </c>
    </row>
    <row r="884" ht="15" customHeight="1">
      <c r="A884" s="8">
        <v>882</v>
      </c>
      <c r="B884" s="19">
        <v>0.6772</v>
      </c>
      <c r="C884" s="19">
        <v>0.8368</v>
      </c>
      <c r="D884" s="17">
        <v>35364.4</v>
      </c>
      <c r="E884" s="19">
        <v>0.8493</v>
      </c>
      <c r="F884" s="19">
        <v>0.1377</v>
      </c>
      <c r="G884" s="17">
        <v>2300854.71</v>
      </c>
      <c r="H884" s="17">
        <v>2796126.46</v>
      </c>
      <c r="I884" s="8" t="s">
        <v>125</v>
      </c>
    </row>
    <row r="885" ht="15" customHeight="1">
      <c r="A885" s="7">
        <v>883</v>
      </c>
      <c r="B885" s="18">
        <v>0.6427</v>
      </c>
      <c r="C885" s="18">
        <v>0.843</v>
      </c>
      <c r="D885" s="16">
        <v>25868.46</v>
      </c>
      <c r="E885" s="18">
        <v>0.9287</v>
      </c>
      <c r="F885" s="18">
        <v>0.1257</v>
      </c>
      <c r="G885" s="16">
        <v>2702066.46</v>
      </c>
      <c r="H885" s="16">
        <v>3263095.86</v>
      </c>
      <c r="I885" s="7" t="s">
        <v>125</v>
      </c>
    </row>
    <row r="886" ht="15" customHeight="1">
      <c r="A886" s="8">
        <v>884</v>
      </c>
      <c r="B886" s="19">
        <v>0.735</v>
      </c>
      <c r="C886" s="19">
        <v>0.8625</v>
      </c>
      <c r="D886" s="17">
        <v>24337.68</v>
      </c>
      <c r="E886" s="19">
        <v>0.9229</v>
      </c>
      <c r="F886" s="19">
        <v>0.0912</v>
      </c>
      <c r="G886" s="17">
        <v>3178012.99</v>
      </c>
      <c r="H886" s="17">
        <v>3812412.06</v>
      </c>
      <c r="I886" s="8" t="s">
        <v>125</v>
      </c>
    </row>
    <row r="887" ht="15" customHeight="1">
      <c r="A887" s="7">
        <v>885</v>
      </c>
      <c r="B887" s="18">
        <v>0.5758</v>
      </c>
      <c r="C887" s="18">
        <v>1.1385</v>
      </c>
      <c r="D887" s="16">
        <v>27785.76</v>
      </c>
      <c r="E887" s="18">
        <v>0.9317</v>
      </c>
      <c r="F887" s="18">
        <v>0.1206</v>
      </c>
      <c r="G887" s="16">
        <v>3434578.07</v>
      </c>
      <c r="H887" s="16">
        <v>4126874.31</v>
      </c>
      <c r="I887" s="7" t="s">
        <v>125</v>
      </c>
    </row>
    <row r="888" ht="15" customHeight="1">
      <c r="A888" s="8">
        <v>886</v>
      </c>
      <c r="B888" s="19">
        <v>0.5229</v>
      </c>
      <c r="C888" s="19">
        <v>0.9765</v>
      </c>
      <c r="D888" s="17">
        <v>22319.61</v>
      </c>
      <c r="E888" s="19">
        <v>0.8202</v>
      </c>
      <c r="F888" s="19">
        <v>0.0679</v>
      </c>
      <c r="G888" s="17">
        <v>1931121.41</v>
      </c>
      <c r="H888" s="17">
        <v>2337014.47</v>
      </c>
      <c r="I888" s="8" t="s">
        <v>125</v>
      </c>
    </row>
    <row r="889" ht="15" customHeight="1">
      <c r="A889" s="7">
        <v>887</v>
      </c>
      <c r="B889" s="18">
        <v>0.6827</v>
      </c>
      <c r="C889" s="18">
        <v>1.3584</v>
      </c>
      <c r="D889" s="16">
        <v>28037.55</v>
      </c>
      <c r="E889" s="18">
        <v>0.8709</v>
      </c>
      <c r="F889" s="18">
        <v>0.1584</v>
      </c>
      <c r="G889" s="16">
        <v>5231093.49</v>
      </c>
      <c r="H889" s="16">
        <v>6267601.16</v>
      </c>
      <c r="I889" s="7" t="s">
        <v>125</v>
      </c>
    </row>
    <row r="890" ht="15" customHeight="1">
      <c r="A890" s="8">
        <v>888</v>
      </c>
      <c r="B890" s="19">
        <v>0.6133</v>
      </c>
      <c r="C890" s="19">
        <v>1.0614</v>
      </c>
      <c r="D890" s="17">
        <v>39584.99</v>
      </c>
      <c r="E890" s="19">
        <v>0.7894</v>
      </c>
      <c r="F890" s="19">
        <v>0.1204</v>
      </c>
      <c r="G890" s="17">
        <v>2334829.81</v>
      </c>
      <c r="H890" s="17">
        <v>2832294.41</v>
      </c>
      <c r="I890" s="8" t="s">
        <v>125</v>
      </c>
    </row>
    <row r="891" ht="15" customHeight="1">
      <c r="A891" s="7">
        <v>889</v>
      </c>
      <c r="B891" s="18">
        <v>0.6476</v>
      </c>
      <c r="C891" s="18">
        <v>1.0362</v>
      </c>
      <c r="D891" s="16">
        <v>27704.66</v>
      </c>
      <c r="E891" s="18">
        <v>0.8475</v>
      </c>
      <c r="F891" s="18">
        <v>0.1562</v>
      </c>
      <c r="G891" s="16">
        <v>3322659.79</v>
      </c>
      <c r="H891" s="16">
        <v>4007808.5</v>
      </c>
      <c r="I891" s="7" t="s">
        <v>125</v>
      </c>
    </row>
    <row r="892" ht="15" customHeight="1">
      <c r="A892" s="8">
        <v>890</v>
      </c>
      <c r="B892" s="19">
        <v>0.7322</v>
      </c>
      <c r="C892" s="19">
        <v>0.9073</v>
      </c>
      <c r="D892" s="17">
        <v>23943.25</v>
      </c>
      <c r="E892" s="19">
        <v>0.9708</v>
      </c>
      <c r="F892" s="19">
        <v>0.1537</v>
      </c>
      <c r="G892" s="17">
        <v>4028164.03</v>
      </c>
      <c r="H892" s="17">
        <v>4840158.57</v>
      </c>
      <c r="I892" s="8" t="s">
        <v>125</v>
      </c>
    </row>
    <row r="893" ht="15" customHeight="1">
      <c r="A893" s="7">
        <v>891</v>
      </c>
      <c r="B893" s="18">
        <v>0.5624</v>
      </c>
      <c r="C893" s="18">
        <v>1.0398</v>
      </c>
      <c r="D893" s="16">
        <v>25075.59</v>
      </c>
      <c r="E893" s="18">
        <v>0.8858</v>
      </c>
      <c r="F893" s="18">
        <v>0.1176</v>
      </c>
      <c r="G893" s="16">
        <v>2798929.62</v>
      </c>
      <c r="H893" s="16">
        <v>3374627.58</v>
      </c>
      <c r="I893" s="7" t="s">
        <v>125</v>
      </c>
    </row>
    <row r="894" ht="15" customHeight="1">
      <c r="A894" s="8">
        <v>892</v>
      </c>
      <c r="B894" s="19">
        <v>0.7004</v>
      </c>
      <c r="C894" s="19">
        <v>0.7107</v>
      </c>
      <c r="D894" s="17">
        <v>14906.2</v>
      </c>
      <c r="E894" s="19">
        <v>0.8812</v>
      </c>
      <c r="F894" s="19">
        <v>0.1085</v>
      </c>
      <c r="G894" s="17">
        <v>2471356.79</v>
      </c>
      <c r="H894" s="17">
        <v>2982309.16</v>
      </c>
      <c r="I894" s="8" t="s">
        <v>125</v>
      </c>
    </row>
    <row r="895" ht="15" customHeight="1">
      <c r="A895" s="7">
        <v>893</v>
      </c>
      <c r="B895" s="18">
        <v>0.7229</v>
      </c>
      <c r="C895" s="18">
        <v>0.9808</v>
      </c>
      <c r="D895" s="16">
        <v>25913.6</v>
      </c>
      <c r="E895" s="18">
        <v>0.9296</v>
      </c>
      <c r="F895" s="18">
        <v>0.0537</v>
      </c>
      <c r="G895" s="16">
        <v>3434493.96</v>
      </c>
      <c r="H895" s="16">
        <v>4100189.77</v>
      </c>
      <c r="I895" s="7" t="s">
        <v>125</v>
      </c>
    </row>
    <row r="896" ht="15" customHeight="1">
      <c r="A896" s="8">
        <v>894</v>
      </c>
      <c r="B896" s="19">
        <v>0.5058</v>
      </c>
      <c r="C896" s="19">
        <v>0.6074</v>
      </c>
      <c r="D896" s="17">
        <v>29014.78</v>
      </c>
      <c r="E896" s="19">
        <v>0.9543</v>
      </c>
      <c r="F896" s="19">
        <v>0.0276</v>
      </c>
      <c r="G896" s="17">
        <v>724379.9</v>
      </c>
      <c r="H896" s="17">
        <v>912026.69</v>
      </c>
      <c r="I896" s="8" t="s">
        <v>125</v>
      </c>
    </row>
    <row r="897" ht="15" customHeight="1">
      <c r="A897" s="7">
        <v>895</v>
      </c>
      <c r="B897" s="18">
        <v>0.7656</v>
      </c>
      <c r="C897" s="18">
        <v>0.9947</v>
      </c>
      <c r="D897" s="16">
        <v>26423.14</v>
      </c>
      <c r="E897" s="18">
        <v>0.9444</v>
      </c>
      <c r="F897" s="18">
        <v>0.1353</v>
      </c>
      <c r="G897" s="16">
        <v>4406065.29</v>
      </c>
      <c r="H897" s="16">
        <v>5280034.49</v>
      </c>
      <c r="I897" s="7" t="s">
        <v>125</v>
      </c>
    </row>
    <row r="898" ht="15" customHeight="1">
      <c r="A898" s="8">
        <v>896</v>
      </c>
      <c r="B898" s="19">
        <v>0.4534</v>
      </c>
      <c r="C898" s="19">
        <v>1.1249</v>
      </c>
      <c r="D898" s="17">
        <v>29786.69</v>
      </c>
      <c r="E898" s="19">
        <v>0.8807</v>
      </c>
      <c r="F898" s="19">
        <v>0.1662</v>
      </c>
      <c r="G898" s="17">
        <v>2353556.9</v>
      </c>
      <c r="H898" s="17">
        <v>2864655.36</v>
      </c>
      <c r="I898" s="8" t="s">
        <v>125</v>
      </c>
    </row>
    <row r="899" ht="15" customHeight="1">
      <c r="A899" s="7">
        <v>897</v>
      </c>
      <c r="B899" s="18">
        <v>0.3837</v>
      </c>
      <c r="C899" s="18">
        <v>0.9073</v>
      </c>
      <c r="D899" s="16">
        <v>27106.43</v>
      </c>
      <c r="E899" s="18">
        <v>0.8718</v>
      </c>
      <c r="F899" s="18">
        <v>0.0293</v>
      </c>
      <c r="G899" s="16">
        <v>857331.87</v>
      </c>
      <c r="H899" s="16">
        <v>1068086.83</v>
      </c>
      <c r="I899" s="7" t="s">
        <v>125</v>
      </c>
    </row>
    <row r="900" ht="15" customHeight="1">
      <c r="A900" s="8">
        <v>898</v>
      </c>
      <c r="B900" s="19">
        <v>0.661</v>
      </c>
      <c r="C900" s="19">
        <v>1.0754</v>
      </c>
      <c r="D900" s="17">
        <v>25683.14</v>
      </c>
      <c r="E900" s="19">
        <v>0.9158</v>
      </c>
      <c r="F900" s="19">
        <v>0.114</v>
      </c>
      <c r="G900" s="17">
        <v>3762503.72</v>
      </c>
      <c r="H900" s="17">
        <v>4510657.04</v>
      </c>
      <c r="I900" s="8" t="s">
        <v>125</v>
      </c>
    </row>
    <row r="901" ht="15" customHeight="1">
      <c r="A901" s="7">
        <v>899</v>
      </c>
      <c r="B901" s="18">
        <v>0.3911</v>
      </c>
      <c r="C901" s="18">
        <v>0.9612</v>
      </c>
      <c r="D901" s="16">
        <v>23477.36</v>
      </c>
      <c r="E901" s="18">
        <v>0.8833</v>
      </c>
      <c r="F901" s="18">
        <v>0.1334</v>
      </c>
      <c r="G901" s="16">
        <v>1492468.02</v>
      </c>
      <c r="H901" s="16">
        <v>1835411.67</v>
      </c>
      <c r="I901" s="7" t="s">
        <v>125</v>
      </c>
    </row>
    <row r="902" ht="15" customHeight="1">
      <c r="A902" s="8">
        <v>900</v>
      </c>
      <c r="B902" s="19">
        <v>0.5708</v>
      </c>
      <c r="C902" s="19">
        <v>0.9184</v>
      </c>
      <c r="D902" s="17">
        <v>22272.97</v>
      </c>
      <c r="E902" s="19">
        <v>0.8811</v>
      </c>
      <c r="F902" s="19">
        <v>0.1211</v>
      </c>
      <c r="G902" s="17">
        <v>2476092.69</v>
      </c>
      <c r="H902" s="17">
        <v>2993708.06</v>
      </c>
      <c r="I902" s="8" t="s">
        <v>125</v>
      </c>
    </row>
    <row r="903" ht="15" customHeight="1">
      <c r="A903" s="7">
        <v>901</v>
      </c>
      <c r="B903" s="18">
        <v>0.5521</v>
      </c>
      <c r="C903" s="18">
        <v>0.9216</v>
      </c>
      <c r="D903" s="16">
        <v>24607.71</v>
      </c>
      <c r="E903" s="18">
        <v>0.8798</v>
      </c>
      <c r="F903" s="18">
        <v>0.0163</v>
      </c>
      <c r="G903" s="16">
        <v>1850621.37</v>
      </c>
      <c r="H903" s="16">
        <v>2229307.67</v>
      </c>
      <c r="I903" s="7" t="s">
        <v>125</v>
      </c>
    </row>
    <row r="904" ht="15" customHeight="1">
      <c r="A904" s="8">
        <v>902</v>
      </c>
      <c r="B904" s="19">
        <v>0.4267</v>
      </c>
      <c r="C904" s="19">
        <v>1.0791</v>
      </c>
      <c r="D904" s="17">
        <v>30330.06</v>
      </c>
      <c r="E904" s="19">
        <v>0.8911</v>
      </c>
      <c r="F904" s="19">
        <v>0.1249</v>
      </c>
      <c r="G904" s="17">
        <v>1851958.32</v>
      </c>
      <c r="H904" s="17">
        <v>2260428.93</v>
      </c>
      <c r="I904" s="8" t="s">
        <v>125</v>
      </c>
    </row>
    <row r="905" ht="15" customHeight="1">
      <c r="A905" s="7">
        <v>903</v>
      </c>
      <c r="B905" s="18">
        <v>0.6696</v>
      </c>
      <c r="C905" s="18">
        <v>1.006</v>
      </c>
      <c r="D905" s="16">
        <v>25075.55</v>
      </c>
      <c r="E905" s="18">
        <v>0.8259</v>
      </c>
      <c r="F905" s="18">
        <v>0.1255</v>
      </c>
      <c r="G905" s="16">
        <v>3131784.59</v>
      </c>
      <c r="H905" s="16">
        <v>3770247.32</v>
      </c>
      <c r="I905" s="7" t="s">
        <v>125</v>
      </c>
    </row>
    <row r="906" ht="15" customHeight="1">
      <c r="A906" s="8">
        <v>904</v>
      </c>
      <c r="B906" s="19">
        <v>0.6179</v>
      </c>
      <c r="C906" s="19">
        <v>0.7453</v>
      </c>
      <c r="D906" s="17">
        <v>28063.04</v>
      </c>
      <c r="E906" s="19">
        <v>0.9616</v>
      </c>
      <c r="F906" s="19">
        <v>0.1385</v>
      </c>
      <c r="G906" s="17">
        <v>2230102.16</v>
      </c>
      <c r="H906" s="17">
        <v>2710043.72</v>
      </c>
      <c r="I906" s="8" t="s">
        <v>125</v>
      </c>
    </row>
    <row r="907" ht="15" customHeight="1">
      <c r="A907" s="7">
        <v>905</v>
      </c>
      <c r="B907" s="18">
        <v>0.6163</v>
      </c>
      <c r="C907" s="18">
        <v>1.1855</v>
      </c>
      <c r="D907" s="16">
        <v>20577.79</v>
      </c>
      <c r="E907" s="18">
        <v>0.8915</v>
      </c>
      <c r="F907" s="18">
        <v>0.1083</v>
      </c>
      <c r="G907" s="16">
        <v>3885804.8</v>
      </c>
      <c r="H907" s="16">
        <v>4652299.71</v>
      </c>
      <c r="I907" s="7" t="s">
        <v>125</v>
      </c>
    </row>
    <row r="908" ht="15" customHeight="1">
      <c r="A908" s="8">
        <v>906</v>
      </c>
      <c r="B908" s="19">
        <v>0.802</v>
      </c>
      <c r="C908" s="19">
        <v>0.8963</v>
      </c>
      <c r="D908" s="17">
        <v>28777.6</v>
      </c>
      <c r="E908" s="19">
        <v>0.9333</v>
      </c>
      <c r="F908" s="19">
        <v>0.0224</v>
      </c>
      <c r="G908" s="17">
        <v>3234398.83</v>
      </c>
      <c r="H908" s="17">
        <v>3853119.65</v>
      </c>
      <c r="I908" s="8" t="s">
        <v>125</v>
      </c>
    </row>
    <row r="909" ht="15" customHeight="1">
      <c r="A909" s="7">
        <v>907</v>
      </c>
      <c r="B909" s="18">
        <v>0.6301</v>
      </c>
      <c r="C909" s="18">
        <v>1.1979</v>
      </c>
      <c r="D909" s="16">
        <v>38939.27</v>
      </c>
      <c r="E909" s="18">
        <v>0.8279</v>
      </c>
      <c r="F909" s="18">
        <v>0.0936</v>
      </c>
      <c r="G909" s="16">
        <v>3033390.4</v>
      </c>
      <c r="H909" s="16">
        <v>3646533.65</v>
      </c>
      <c r="I909" s="7" t="s">
        <v>125</v>
      </c>
    </row>
    <row r="910" ht="15" customHeight="1">
      <c r="A910" s="8">
        <v>908</v>
      </c>
      <c r="B910" s="19">
        <v>0.4763</v>
      </c>
      <c r="C910" s="19">
        <v>0.9233</v>
      </c>
      <c r="D910" s="17">
        <v>24719.58</v>
      </c>
      <c r="E910" s="19">
        <v>0.8809</v>
      </c>
      <c r="F910" s="19">
        <v>0.1014</v>
      </c>
      <c r="G910" s="17">
        <v>1759120.37</v>
      </c>
      <c r="H910" s="17">
        <v>2143339.26</v>
      </c>
      <c r="I910" s="8" t="s">
        <v>125</v>
      </c>
    </row>
    <row r="911" ht="15" customHeight="1">
      <c r="A911" s="7">
        <v>909</v>
      </c>
      <c r="B911" s="18">
        <v>0.4843</v>
      </c>
      <c r="C911" s="18">
        <v>1.2333</v>
      </c>
      <c r="D911" s="16">
        <v>26889.2</v>
      </c>
      <c r="E911" s="18">
        <v>0.7995</v>
      </c>
      <c r="F911" s="18">
        <v>0.1446</v>
      </c>
      <c r="G911" s="16">
        <v>2565718.9</v>
      </c>
      <c r="H911" s="16">
        <v>3108168.56</v>
      </c>
      <c r="I911" s="7" t="s">
        <v>125</v>
      </c>
    </row>
    <row r="912" ht="15" customHeight="1">
      <c r="A912" s="8">
        <v>910</v>
      </c>
      <c r="B912" s="19">
        <v>0.763</v>
      </c>
      <c r="C912" s="19">
        <v>0.8784</v>
      </c>
      <c r="D912" s="17">
        <v>26526.19</v>
      </c>
      <c r="E912" s="19">
        <v>0.8372</v>
      </c>
      <c r="F912" s="19">
        <v>0.0528</v>
      </c>
      <c r="G912" s="17">
        <v>2730049.37</v>
      </c>
      <c r="H912" s="17">
        <v>3272335.53</v>
      </c>
      <c r="I912" s="8" t="s">
        <v>125</v>
      </c>
    </row>
    <row r="913" ht="15" customHeight="1">
      <c r="A913" s="7">
        <v>911</v>
      </c>
      <c r="B913" s="18">
        <v>0.3652</v>
      </c>
      <c r="C913" s="18">
        <v>1.034</v>
      </c>
      <c r="D913" s="16">
        <v>21231.28</v>
      </c>
      <c r="E913" s="18">
        <v>0.9109</v>
      </c>
      <c r="F913" s="18">
        <v>0.0895</v>
      </c>
      <c r="G913" s="16">
        <v>1504984.86</v>
      </c>
      <c r="H913" s="16">
        <v>1840248.6</v>
      </c>
      <c r="I913" s="7" t="s">
        <v>125</v>
      </c>
    </row>
    <row r="914" ht="15" customHeight="1">
      <c r="A914" s="8">
        <v>912</v>
      </c>
      <c r="B914" s="19">
        <v>0.5411</v>
      </c>
      <c r="C914" s="19">
        <v>1.0335</v>
      </c>
      <c r="D914" s="17">
        <v>31376.57</v>
      </c>
      <c r="E914" s="19">
        <v>0.8294</v>
      </c>
      <c r="F914" s="19">
        <v>0.089</v>
      </c>
      <c r="G914" s="17">
        <v>2064740.69</v>
      </c>
      <c r="H914" s="17">
        <v>2501947.83</v>
      </c>
      <c r="I914" s="8" t="s">
        <v>125</v>
      </c>
    </row>
    <row r="915" ht="15" customHeight="1">
      <c r="A915" s="7">
        <v>913</v>
      </c>
      <c r="B915" s="18">
        <v>0.7274</v>
      </c>
      <c r="C915" s="18">
        <v>1.4296</v>
      </c>
      <c r="D915" s="16">
        <v>28055.74</v>
      </c>
      <c r="E915" s="18">
        <v>0.872</v>
      </c>
      <c r="F915" s="18">
        <v>0.078</v>
      </c>
      <c r="G915" s="16">
        <v>5299303.42</v>
      </c>
      <c r="H915" s="16">
        <v>6305137.81</v>
      </c>
      <c r="I915" s="7" t="s">
        <v>125</v>
      </c>
    </row>
    <row r="916" ht="15" customHeight="1">
      <c r="A916" s="8">
        <v>914</v>
      </c>
      <c r="B916" s="19">
        <v>0.5572</v>
      </c>
      <c r="C916" s="19">
        <v>0.8577</v>
      </c>
      <c r="D916" s="17">
        <v>26882.66</v>
      </c>
      <c r="E916" s="19">
        <v>0.921</v>
      </c>
      <c r="F916" s="19">
        <v>0.0827</v>
      </c>
      <c r="G916" s="17">
        <v>2004002.37</v>
      </c>
      <c r="H916" s="17">
        <v>2427616.28</v>
      </c>
      <c r="I916" s="8" t="s">
        <v>125</v>
      </c>
    </row>
    <row r="917" ht="15" customHeight="1">
      <c r="A917" s="7">
        <v>915</v>
      </c>
      <c r="B917" s="18">
        <v>0.5652</v>
      </c>
      <c r="C917" s="18">
        <v>0.9129</v>
      </c>
      <c r="D917" s="16">
        <v>30452.02</v>
      </c>
      <c r="E917" s="18">
        <v>0.848</v>
      </c>
      <c r="F917" s="18">
        <v>0.0932</v>
      </c>
      <c r="G917" s="16">
        <v>1919577.51</v>
      </c>
      <c r="H917" s="16">
        <v>2331866.8</v>
      </c>
      <c r="I917" s="7" t="s">
        <v>125</v>
      </c>
    </row>
    <row r="918" ht="15" customHeight="1">
      <c r="A918" s="8">
        <v>916</v>
      </c>
      <c r="B918" s="19">
        <v>0.7886</v>
      </c>
      <c r="C918" s="19">
        <v>0.5863</v>
      </c>
      <c r="D918" s="17">
        <v>25765.35</v>
      </c>
      <c r="E918" s="19">
        <v>0.8173</v>
      </c>
      <c r="F918" s="19">
        <v>0.0936</v>
      </c>
      <c r="G918" s="17">
        <v>1628112.49</v>
      </c>
      <c r="H918" s="17">
        <v>1987365.67</v>
      </c>
      <c r="I918" s="8" t="s">
        <v>125</v>
      </c>
    </row>
    <row r="919" ht="15" customHeight="1">
      <c r="A919" s="7">
        <v>917</v>
      </c>
      <c r="B919" s="18">
        <v>0.5787</v>
      </c>
      <c r="C919" s="18">
        <v>1.0625</v>
      </c>
      <c r="D919" s="16">
        <v>17580.02</v>
      </c>
      <c r="E919" s="18">
        <v>0.8855</v>
      </c>
      <c r="F919" s="18">
        <v>0.1191</v>
      </c>
      <c r="G919" s="16">
        <v>3237268.41</v>
      </c>
      <c r="H919" s="16">
        <v>3890154.65</v>
      </c>
      <c r="I919" s="7" t="s">
        <v>125</v>
      </c>
    </row>
    <row r="920" ht="15" customHeight="1">
      <c r="A920" s="8">
        <v>918</v>
      </c>
      <c r="B920" s="19">
        <v>0.6468</v>
      </c>
      <c r="C920" s="19">
        <v>0.8913</v>
      </c>
      <c r="D920" s="17">
        <v>21137.85</v>
      </c>
      <c r="E920" s="19">
        <v>0.9133</v>
      </c>
      <c r="F920" s="19">
        <v>0.0522</v>
      </c>
      <c r="G920" s="17">
        <v>2652485.27</v>
      </c>
      <c r="H920" s="17">
        <v>3180241.52</v>
      </c>
      <c r="I920" s="8" t="s">
        <v>125</v>
      </c>
    </row>
    <row r="921" ht="15" customHeight="1">
      <c r="A921" s="7">
        <v>919</v>
      </c>
      <c r="B921" s="18">
        <v>0.605</v>
      </c>
      <c r="C921" s="18">
        <v>1.2393</v>
      </c>
      <c r="D921" s="16">
        <v>30386.77</v>
      </c>
      <c r="E921" s="18">
        <v>0.9367</v>
      </c>
      <c r="F921" s="18">
        <v>0.0992</v>
      </c>
      <c r="G921" s="16">
        <v>3903191.26</v>
      </c>
      <c r="H921" s="16">
        <v>4671720.5</v>
      </c>
      <c r="I921" s="7" t="s">
        <v>125</v>
      </c>
    </row>
    <row r="922" ht="15" customHeight="1">
      <c r="A922" s="8">
        <v>920</v>
      </c>
      <c r="B922" s="19">
        <v>0.5475</v>
      </c>
      <c r="C922" s="19">
        <v>1.2132</v>
      </c>
      <c r="D922" s="17">
        <v>31820.39</v>
      </c>
      <c r="E922" s="19">
        <v>0.912</v>
      </c>
      <c r="F922" s="19">
        <v>0.142</v>
      </c>
      <c r="G922" s="17">
        <v>3403651.88</v>
      </c>
      <c r="H922" s="17">
        <v>4099962.14</v>
      </c>
      <c r="I922" s="8" t="s">
        <v>125</v>
      </c>
    </row>
    <row r="923" ht="15" customHeight="1">
      <c r="A923" s="7">
        <v>921</v>
      </c>
      <c r="B923" s="18">
        <v>0.7548</v>
      </c>
      <c r="C923" s="18">
        <v>0.7791</v>
      </c>
      <c r="D923" s="16">
        <v>20848.1</v>
      </c>
      <c r="E923" s="18">
        <v>0.9456</v>
      </c>
      <c r="F923" s="18">
        <v>0.0706</v>
      </c>
      <c r="G923" s="16">
        <v>2963083.53</v>
      </c>
      <c r="H923" s="16">
        <v>3551391.08</v>
      </c>
      <c r="I923" s="7" t="s">
        <v>125</v>
      </c>
    </row>
    <row r="924" ht="15" customHeight="1">
      <c r="A924" s="8">
        <v>922</v>
      </c>
      <c r="B924" s="19">
        <v>0.4353</v>
      </c>
      <c r="C924" s="19">
        <v>1.2225</v>
      </c>
      <c r="D924" s="17">
        <v>25425.38</v>
      </c>
      <c r="E924" s="19">
        <v>0.965</v>
      </c>
      <c r="F924" s="19">
        <v>0.141</v>
      </c>
      <c r="G924" s="17">
        <v>2874198.25</v>
      </c>
      <c r="H924" s="17">
        <v>3471243.28</v>
      </c>
      <c r="I924" s="8" t="s">
        <v>125</v>
      </c>
    </row>
    <row r="925" ht="15" customHeight="1">
      <c r="A925" s="7">
        <v>923</v>
      </c>
      <c r="B925" s="18">
        <v>0.5886</v>
      </c>
      <c r="C925" s="18">
        <v>0.9523</v>
      </c>
      <c r="D925" s="16">
        <v>29425.28</v>
      </c>
      <c r="E925" s="18">
        <v>0.9561</v>
      </c>
      <c r="F925" s="18">
        <v>0.036</v>
      </c>
      <c r="G925" s="16">
        <v>2381958.66</v>
      </c>
      <c r="H925" s="16">
        <v>2858430.82</v>
      </c>
      <c r="I925" s="7" t="s">
        <v>125</v>
      </c>
    </row>
    <row r="926" ht="15" customHeight="1">
      <c r="A926" s="8">
        <v>924</v>
      </c>
      <c r="B926" s="19">
        <v>0.6473</v>
      </c>
      <c r="C926" s="19">
        <v>0.9071</v>
      </c>
      <c r="D926" s="17">
        <v>22813.79</v>
      </c>
      <c r="E926" s="19">
        <v>0.9425</v>
      </c>
      <c r="F926" s="19">
        <v>0.1568</v>
      </c>
      <c r="G926" s="17">
        <v>3354882.82</v>
      </c>
      <c r="H926" s="17">
        <v>4044126.16</v>
      </c>
      <c r="I926" s="8" t="s">
        <v>125</v>
      </c>
    </row>
    <row r="927" ht="15" customHeight="1">
      <c r="A927" s="7">
        <v>925</v>
      </c>
      <c r="B927" s="18">
        <v>0.6272</v>
      </c>
      <c r="C927" s="18">
        <v>0.9203</v>
      </c>
      <c r="D927" s="16">
        <v>26998.73</v>
      </c>
      <c r="E927" s="18">
        <v>0.9344</v>
      </c>
      <c r="F927" s="18">
        <v>0.1122</v>
      </c>
      <c r="G927" s="16">
        <v>2872088.35</v>
      </c>
      <c r="H927" s="16">
        <v>3459765.72</v>
      </c>
      <c r="I927" s="7" t="s">
        <v>125</v>
      </c>
    </row>
    <row r="928" ht="15" customHeight="1">
      <c r="A928" s="8">
        <v>926</v>
      </c>
      <c r="B928" s="19">
        <v>0.602</v>
      </c>
      <c r="C928" s="19">
        <v>1.1806</v>
      </c>
      <c r="D928" s="17">
        <v>37380.61</v>
      </c>
      <c r="E928" s="19">
        <v>0.9218</v>
      </c>
      <c r="F928" s="19">
        <v>0.0734</v>
      </c>
      <c r="G928" s="17">
        <v>3175774.64</v>
      </c>
      <c r="H928" s="17">
        <v>3805872.63</v>
      </c>
      <c r="I928" s="8" t="s">
        <v>125</v>
      </c>
    </row>
    <row r="929" ht="15" customHeight="1">
      <c r="A929" s="7">
        <v>927</v>
      </c>
      <c r="B929" s="18">
        <v>0.6935</v>
      </c>
      <c r="C929" s="18">
        <v>0.982</v>
      </c>
      <c r="D929" s="16">
        <v>38074.53</v>
      </c>
      <c r="E929" s="18">
        <v>0.8624</v>
      </c>
      <c r="F929" s="18">
        <v>0.1718</v>
      </c>
      <c r="G929" s="16">
        <v>3246234.32</v>
      </c>
      <c r="H929" s="16">
        <v>3927531.44</v>
      </c>
      <c r="I929" s="7" t="s">
        <v>125</v>
      </c>
    </row>
    <row r="930" ht="15" customHeight="1">
      <c r="A930" s="8">
        <v>928</v>
      </c>
      <c r="B930" s="19">
        <v>0.686</v>
      </c>
      <c r="C930" s="19">
        <v>0.837</v>
      </c>
      <c r="D930" s="17">
        <v>21609.11</v>
      </c>
      <c r="E930" s="19">
        <v>0.9453</v>
      </c>
      <c r="F930" s="19">
        <v>0.0682</v>
      </c>
      <c r="G930" s="17">
        <v>2832847.03</v>
      </c>
      <c r="H930" s="17">
        <v>3397535.68</v>
      </c>
      <c r="I930" s="8" t="s">
        <v>125</v>
      </c>
    </row>
    <row r="931" ht="15" customHeight="1">
      <c r="A931" s="7">
        <v>929</v>
      </c>
      <c r="B931" s="18">
        <v>0.7523</v>
      </c>
      <c r="C931" s="18">
        <v>0.8802</v>
      </c>
      <c r="D931" s="16">
        <v>30623.18</v>
      </c>
      <c r="E931" s="18">
        <v>0.9344</v>
      </c>
      <c r="F931" s="18">
        <v>0.0529</v>
      </c>
      <c r="G931" s="16">
        <v>3004630</v>
      </c>
      <c r="H931" s="16">
        <v>3595528.38</v>
      </c>
      <c r="I931" s="7" t="s">
        <v>125</v>
      </c>
    </row>
    <row r="932" ht="15" customHeight="1">
      <c r="A932" s="8">
        <v>930</v>
      </c>
      <c r="B932" s="19">
        <v>0.7369</v>
      </c>
      <c r="C932" s="19">
        <v>1.09</v>
      </c>
      <c r="D932" s="17">
        <v>20634.48</v>
      </c>
      <c r="E932" s="19">
        <v>0.8929</v>
      </c>
      <c r="F932" s="19">
        <v>0.1183</v>
      </c>
      <c r="G932" s="17">
        <v>4447576.05</v>
      </c>
      <c r="H932" s="17">
        <v>5319477</v>
      </c>
      <c r="I932" s="8" t="s">
        <v>125</v>
      </c>
    </row>
    <row r="933" ht="15" customHeight="1">
      <c r="A933" s="7">
        <v>931</v>
      </c>
      <c r="B933" s="18">
        <v>0.4841</v>
      </c>
      <c r="C933" s="18">
        <v>0.7199</v>
      </c>
      <c r="D933" s="16">
        <v>36114.28</v>
      </c>
      <c r="E933" s="18">
        <v>0.8562</v>
      </c>
      <c r="F933" s="18">
        <v>0.0594</v>
      </c>
      <c r="G933" s="16">
        <v>629080.63</v>
      </c>
      <c r="H933" s="16">
        <v>806677.11</v>
      </c>
      <c r="I933" s="7" t="s">
        <v>125</v>
      </c>
    </row>
    <row r="934" ht="15" customHeight="1">
      <c r="A934" s="8">
        <v>932</v>
      </c>
      <c r="B934" s="19">
        <v>0.675</v>
      </c>
      <c r="C934" s="19">
        <v>1.046</v>
      </c>
      <c r="D934" s="17">
        <v>32652.99</v>
      </c>
      <c r="E934" s="19">
        <v>0.8855</v>
      </c>
      <c r="F934" s="19">
        <v>0.0684</v>
      </c>
      <c r="G934" s="17">
        <v>3078272.1</v>
      </c>
      <c r="H934" s="17">
        <v>3688323.04</v>
      </c>
      <c r="I934" s="8" t="s">
        <v>125</v>
      </c>
    </row>
    <row r="935" ht="15" customHeight="1">
      <c r="A935" s="7">
        <v>933</v>
      </c>
      <c r="B935" s="18">
        <v>0.5569</v>
      </c>
      <c r="C935" s="18">
        <v>1.3049</v>
      </c>
      <c r="D935" s="16">
        <v>31903.83</v>
      </c>
      <c r="E935" s="18">
        <v>0.9305</v>
      </c>
      <c r="F935" s="18">
        <v>0.1423</v>
      </c>
      <c r="G935" s="16">
        <v>3952778.62</v>
      </c>
      <c r="H935" s="16">
        <v>4749361.45</v>
      </c>
      <c r="I935" s="7" t="s">
        <v>125</v>
      </c>
    </row>
    <row r="936" ht="15" customHeight="1">
      <c r="A936" s="8">
        <v>934</v>
      </c>
      <c r="B936" s="19">
        <v>0.5965</v>
      </c>
      <c r="C936" s="19">
        <v>0.8039</v>
      </c>
      <c r="D936" s="17">
        <v>37250.95</v>
      </c>
      <c r="E936" s="19">
        <v>0.9313</v>
      </c>
      <c r="F936" s="19">
        <v>0.1283</v>
      </c>
      <c r="G936" s="17">
        <v>1931055.3</v>
      </c>
      <c r="H936" s="17">
        <v>2357097.73</v>
      </c>
      <c r="I936" s="8" t="s">
        <v>125</v>
      </c>
    </row>
    <row r="937" ht="15" customHeight="1">
      <c r="A937" s="7">
        <v>935</v>
      </c>
      <c r="B937" s="18">
        <v>0.6881</v>
      </c>
      <c r="C937" s="18">
        <v>1.1213</v>
      </c>
      <c r="D937" s="16">
        <v>29342.39</v>
      </c>
      <c r="E937" s="18">
        <v>0.786</v>
      </c>
      <c r="F937" s="18">
        <v>0.2076</v>
      </c>
      <c r="G937" s="16">
        <v>3898448.11</v>
      </c>
      <c r="H937" s="16">
        <v>4710556.45</v>
      </c>
      <c r="I937" s="7" t="s">
        <v>125</v>
      </c>
    </row>
    <row r="938" ht="15" customHeight="1">
      <c r="A938" s="8">
        <v>936</v>
      </c>
      <c r="B938" s="19">
        <v>0.4336</v>
      </c>
      <c r="C938" s="19">
        <v>1.1405</v>
      </c>
      <c r="D938" s="17">
        <v>29502.39</v>
      </c>
      <c r="E938" s="19">
        <v>0.9463</v>
      </c>
      <c r="F938" s="19">
        <v>0.0643</v>
      </c>
      <c r="G938" s="17">
        <v>2041628.65</v>
      </c>
      <c r="H938" s="17">
        <v>2467285.05</v>
      </c>
      <c r="I938" s="8" t="s">
        <v>125</v>
      </c>
    </row>
    <row r="939" ht="15" customHeight="1">
      <c r="A939" s="7">
        <v>937</v>
      </c>
      <c r="B939" s="18">
        <v>0.4897</v>
      </c>
      <c r="C939" s="18">
        <v>0.7305</v>
      </c>
      <c r="D939" s="16">
        <v>38457.9</v>
      </c>
      <c r="E939" s="18">
        <v>0.8508</v>
      </c>
      <c r="F939" s="18">
        <v>0.0278</v>
      </c>
      <c r="G939" s="16">
        <v>509540.24</v>
      </c>
      <c r="H939" s="16">
        <v>660879.8</v>
      </c>
      <c r="I939" s="7" t="s">
        <v>125</v>
      </c>
    </row>
    <row r="940" ht="15" customHeight="1">
      <c r="A940" s="8">
        <v>938</v>
      </c>
      <c r="B940" s="19">
        <v>0.6801</v>
      </c>
      <c r="C940" s="19">
        <v>0.8287</v>
      </c>
      <c r="D940" s="17">
        <v>26373.56</v>
      </c>
      <c r="E940" s="19">
        <v>0.8626</v>
      </c>
      <c r="F940" s="19">
        <v>0.0843</v>
      </c>
      <c r="G940" s="17">
        <v>2359732.86</v>
      </c>
      <c r="H940" s="17">
        <v>2846827.15</v>
      </c>
      <c r="I940" s="8" t="s">
        <v>125</v>
      </c>
    </row>
    <row r="941" ht="15" customHeight="1">
      <c r="A941" s="7">
        <v>939</v>
      </c>
      <c r="B941" s="18">
        <v>0.6862</v>
      </c>
      <c r="C941" s="18">
        <v>0.8335</v>
      </c>
      <c r="D941" s="16">
        <v>26881.49</v>
      </c>
      <c r="E941" s="18">
        <v>0.9002</v>
      </c>
      <c r="F941" s="18">
        <v>0.0786</v>
      </c>
      <c r="G941" s="16">
        <v>2523589.81</v>
      </c>
      <c r="H941" s="16">
        <v>3038066.49</v>
      </c>
      <c r="I941" s="7" t="s">
        <v>125</v>
      </c>
    </row>
    <row r="942" ht="15" customHeight="1">
      <c r="A942" s="8">
        <v>940</v>
      </c>
      <c r="B942" s="19">
        <v>0.6485</v>
      </c>
      <c r="C942" s="19">
        <v>0.9844</v>
      </c>
      <c r="D942" s="17">
        <v>26898.02</v>
      </c>
      <c r="E942" s="19">
        <v>0.8537</v>
      </c>
      <c r="F942" s="19">
        <v>0.1043</v>
      </c>
      <c r="G942" s="17">
        <v>2875045.54</v>
      </c>
      <c r="H942" s="17">
        <v>3460565.07</v>
      </c>
      <c r="I942" s="8" t="s">
        <v>125</v>
      </c>
    </row>
    <row r="943" ht="15" customHeight="1">
      <c r="A943" s="7">
        <v>941</v>
      </c>
      <c r="B943" s="18">
        <v>0.4434</v>
      </c>
      <c r="C943" s="18">
        <v>0.729</v>
      </c>
      <c r="D943" s="16">
        <v>27063.93</v>
      </c>
      <c r="E943" s="18">
        <v>0.8719</v>
      </c>
      <c r="F943" s="18">
        <v>0.1143</v>
      </c>
      <c r="G943" s="16">
        <v>941259.28</v>
      </c>
      <c r="H943" s="16">
        <v>1182031.89</v>
      </c>
      <c r="I943" s="7" t="s">
        <v>125</v>
      </c>
    </row>
    <row r="944" ht="15" customHeight="1">
      <c r="A944" s="8">
        <v>942</v>
      </c>
      <c r="B944" s="19">
        <v>0.5484</v>
      </c>
      <c r="C944" s="19">
        <v>1.2825</v>
      </c>
      <c r="D944" s="17">
        <v>27615.09</v>
      </c>
      <c r="E944" s="19">
        <v>0.8407</v>
      </c>
      <c r="F944" s="19">
        <v>0.0212</v>
      </c>
      <c r="G944" s="17">
        <v>2733088.66</v>
      </c>
      <c r="H944" s="17">
        <v>3265030.63</v>
      </c>
      <c r="I944" s="8" t="s">
        <v>125</v>
      </c>
    </row>
    <row r="945" ht="15" customHeight="1">
      <c r="A945" s="7">
        <v>943</v>
      </c>
      <c r="B945" s="18">
        <v>0.7054</v>
      </c>
      <c r="C945" s="18">
        <v>1.0135</v>
      </c>
      <c r="D945" s="16">
        <v>35184.54</v>
      </c>
      <c r="E945" s="18">
        <v>0.9732</v>
      </c>
      <c r="F945" s="18">
        <v>0.0334</v>
      </c>
      <c r="G945" s="16">
        <v>3273478.7</v>
      </c>
      <c r="H945" s="16">
        <v>3903979.37</v>
      </c>
      <c r="I945" s="7" t="s">
        <v>125</v>
      </c>
    </row>
    <row r="946" ht="15" customHeight="1">
      <c r="A946" s="8">
        <v>944</v>
      </c>
      <c r="B946" s="19">
        <v>0.6824</v>
      </c>
      <c r="C946" s="19">
        <v>0.8995</v>
      </c>
      <c r="D946" s="17">
        <v>30967</v>
      </c>
      <c r="E946" s="19">
        <v>0.8325</v>
      </c>
      <c r="F946" s="19">
        <v>0.0939</v>
      </c>
      <c r="G946" s="17">
        <v>2445945.27</v>
      </c>
      <c r="H946" s="17">
        <v>2952445.41</v>
      </c>
      <c r="I946" s="8" t="s">
        <v>125</v>
      </c>
    </row>
    <row r="947" ht="15" customHeight="1">
      <c r="A947" s="7">
        <v>945</v>
      </c>
      <c r="B947" s="18">
        <v>0.5359</v>
      </c>
      <c r="C947" s="18">
        <v>0.8226</v>
      </c>
      <c r="D947" s="16">
        <v>27229.48</v>
      </c>
      <c r="E947" s="18">
        <v>0.9309</v>
      </c>
      <c r="F947" s="18">
        <v>0.1606</v>
      </c>
      <c r="G947" s="16">
        <v>2095962.53</v>
      </c>
      <c r="H947" s="16">
        <v>2557026.25</v>
      </c>
      <c r="I947" s="7" t="s">
        <v>125</v>
      </c>
    </row>
    <row r="948" ht="15" customHeight="1">
      <c r="A948" s="8">
        <v>946</v>
      </c>
      <c r="B948" s="19">
        <v>0.5943</v>
      </c>
      <c r="C948" s="19">
        <v>0.7472</v>
      </c>
      <c r="D948" s="17">
        <v>27560.75</v>
      </c>
      <c r="E948" s="19">
        <v>0.9627</v>
      </c>
      <c r="F948" s="19">
        <v>0.109</v>
      </c>
      <c r="G948" s="17">
        <v>2001407.89</v>
      </c>
      <c r="H948" s="17">
        <v>2431803.43</v>
      </c>
      <c r="I948" s="8" t="s">
        <v>125</v>
      </c>
    </row>
    <row r="949" ht="15" customHeight="1">
      <c r="A949" s="7">
        <v>947</v>
      </c>
      <c r="B949" s="18">
        <v>0.5322</v>
      </c>
      <c r="C949" s="18">
        <v>0.953</v>
      </c>
      <c r="D949" s="16">
        <v>34422.69</v>
      </c>
      <c r="E949" s="18">
        <v>0.8902</v>
      </c>
      <c r="F949" s="18">
        <v>0.0916</v>
      </c>
      <c r="G949" s="16">
        <v>1893062.22</v>
      </c>
      <c r="H949" s="16">
        <v>2301184.04</v>
      </c>
      <c r="I949" s="7" t="s">
        <v>125</v>
      </c>
    </row>
    <row r="950" ht="15" customHeight="1">
      <c r="A950" s="8">
        <v>948</v>
      </c>
      <c r="B950" s="19">
        <v>0.4941</v>
      </c>
      <c r="C950" s="19">
        <v>1.1556</v>
      </c>
      <c r="D950" s="17">
        <v>28880.04</v>
      </c>
      <c r="E950" s="19">
        <v>0.8974</v>
      </c>
      <c r="F950" s="19">
        <v>0.0791</v>
      </c>
      <c r="G950" s="17">
        <v>2446819.54</v>
      </c>
      <c r="H950" s="17">
        <v>2948317.43</v>
      </c>
      <c r="I950" s="8" t="s">
        <v>125</v>
      </c>
    </row>
    <row r="951" ht="15" customHeight="1">
      <c r="A951" s="7">
        <v>949</v>
      </c>
      <c r="B951" s="18">
        <v>0.7845</v>
      </c>
      <c r="C951" s="18">
        <v>1.0317</v>
      </c>
      <c r="D951" s="16">
        <v>28685.76</v>
      </c>
      <c r="E951" s="18">
        <v>0.9327</v>
      </c>
      <c r="F951" s="18">
        <v>0.0798</v>
      </c>
      <c r="G951" s="16">
        <v>4201342.82</v>
      </c>
      <c r="H951" s="16">
        <v>5013804.92</v>
      </c>
      <c r="I951" s="7" t="s">
        <v>125</v>
      </c>
    </row>
    <row r="952" ht="15" customHeight="1">
      <c r="A952" s="8">
        <v>950</v>
      </c>
      <c r="B952" s="19">
        <v>0.3766</v>
      </c>
      <c r="C952" s="19">
        <v>0.6697</v>
      </c>
      <c r="D952" s="17">
        <v>31669.73</v>
      </c>
      <c r="E952" s="19">
        <v>0.8711</v>
      </c>
      <c r="F952" s="19">
        <v>0.0699</v>
      </c>
      <c r="G952" s="17">
        <v>236508.26</v>
      </c>
      <c r="H952" s="17">
        <v>345953.28</v>
      </c>
      <c r="I952" s="8" t="s">
        <v>125</v>
      </c>
    </row>
    <row r="953" ht="15" customHeight="1">
      <c r="A953" s="7">
        <v>951</v>
      </c>
      <c r="B953" s="18">
        <v>0.5426</v>
      </c>
      <c r="C953" s="18">
        <v>1.0783</v>
      </c>
      <c r="D953" s="16">
        <v>19668.67</v>
      </c>
      <c r="E953" s="18">
        <v>0.8963</v>
      </c>
      <c r="F953" s="18">
        <v>0.1723</v>
      </c>
      <c r="G953" s="16">
        <v>3304665.44</v>
      </c>
      <c r="H953" s="16">
        <v>3988653.18</v>
      </c>
      <c r="I953" s="7" t="s">
        <v>125</v>
      </c>
    </row>
    <row r="954" ht="15" customHeight="1">
      <c r="A954" s="8">
        <v>952</v>
      </c>
      <c r="B954" s="19">
        <v>0.5166</v>
      </c>
      <c r="C954" s="19">
        <v>0.8871</v>
      </c>
      <c r="D954" s="17">
        <v>30669.97</v>
      </c>
      <c r="E954" s="19">
        <v>0.8083</v>
      </c>
      <c r="F954" s="19">
        <v>0.117</v>
      </c>
      <c r="G954" s="17">
        <v>1506905</v>
      </c>
      <c r="H954" s="17">
        <v>1851236.5</v>
      </c>
      <c r="I954" s="8" t="s">
        <v>125</v>
      </c>
    </row>
    <row r="955" ht="15" customHeight="1">
      <c r="A955" s="7">
        <v>953</v>
      </c>
      <c r="B955" s="18">
        <v>0.3553</v>
      </c>
      <c r="C955" s="18">
        <v>0.6801</v>
      </c>
      <c r="D955" s="16">
        <v>29408.04</v>
      </c>
      <c r="E955" s="18">
        <v>0.8686</v>
      </c>
      <c r="F955" s="18">
        <v>0.1115</v>
      </c>
      <c r="G955" s="16">
        <v>320880.47</v>
      </c>
      <c r="H955" s="16">
        <v>450311.55</v>
      </c>
      <c r="I955" s="7" t="s">
        <v>125</v>
      </c>
    </row>
    <row r="956" ht="15" customHeight="1">
      <c r="A956" s="8">
        <v>954</v>
      </c>
      <c r="B956" s="19">
        <v>0.3584</v>
      </c>
      <c r="C956" s="19">
        <v>0.8552</v>
      </c>
      <c r="D956" s="17">
        <v>26054.13</v>
      </c>
      <c r="E956" s="19">
        <v>0.8421</v>
      </c>
      <c r="F956" s="19">
        <v>0.0501</v>
      </c>
      <c r="G956" s="17">
        <v>634062.13</v>
      </c>
      <c r="H956" s="17">
        <v>809456.94</v>
      </c>
      <c r="I956" s="8" t="s">
        <v>125</v>
      </c>
    </row>
    <row r="957" ht="15" customHeight="1">
      <c r="A957" s="7">
        <v>955</v>
      </c>
      <c r="B957" s="18">
        <v>0.4568</v>
      </c>
      <c r="C957" s="18">
        <v>1.2593</v>
      </c>
      <c r="D957" s="16">
        <v>33032.14</v>
      </c>
      <c r="E957" s="18">
        <v>0.8288</v>
      </c>
      <c r="F957" s="18">
        <v>0.1413</v>
      </c>
      <c r="G957" s="16">
        <v>2354900.33</v>
      </c>
      <c r="H957" s="16">
        <v>2860231.52</v>
      </c>
      <c r="I957" s="7" t="s">
        <v>125</v>
      </c>
    </row>
    <row r="958" ht="15" customHeight="1">
      <c r="A958" s="8">
        <v>956</v>
      </c>
      <c r="B958" s="19">
        <v>0.5422</v>
      </c>
      <c r="C958" s="19">
        <v>0.7397</v>
      </c>
      <c r="D958" s="17">
        <v>28675.14</v>
      </c>
      <c r="E958" s="19">
        <v>0.9034</v>
      </c>
      <c r="F958" s="19">
        <v>0.1246</v>
      </c>
      <c r="G958" s="17">
        <v>1534712.22</v>
      </c>
      <c r="H958" s="17">
        <v>1885167.23</v>
      </c>
      <c r="I958" s="8" t="s">
        <v>125</v>
      </c>
    </row>
    <row r="959" ht="15" customHeight="1">
      <c r="A959" s="7">
        <v>957</v>
      </c>
      <c r="B959" s="18">
        <v>0.4218</v>
      </c>
      <c r="C959" s="18">
        <v>1.1136</v>
      </c>
      <c r="D959" s="16">
        <v>20708.06</v>
      </c>
      <c r="E959" s="18">
        <v>0.9393</v>
      </c>
      <c r="F959" s="18">
        <v>0.0817</v>
      </c>
      <c r="G959" s="16">
        <v>2197471.17</v>
      </c>
      <c r="H959" s="16">
        <v>2653741.25</v>
      </c>
      <c r="I959" s="7" t="s">
        <v>125</v>
      </c>
    </row>
    <row r="960" ht="15" customHeight="1">
      <c r="A960" s="8">
        <v>958</v>
      </c>
      <c r="B960" s="19">
        <v>0.3689</v>
      </c>
      <c r="C960" s="19">
        <v>1.3336</v>
      </c>
      <c r="D960" s="17">
        <v>29813.2</v>
      </c>
      <c r="E960" s="19">
        <v>0.8842</v>
      </c>
      <c r="F960" s="19">
        <v>0.1758</v>
      </c>
      <c r="G960" s="17">
        <v>2282375.06</v>
      </c>
      <c r="H960" s="17">
        <v>2783063.75</v>
      </c>
      <c r="I960" s="8" t="s">
        <v>125</v>
      </c>
    </row>
    <row r="961" ht="15" customHeight="1">
      <c r="A961" s="7">
        <v>959</v>
      </c>
      <c r="B961" s="18">
        <v>0.7685</v>
      </c>
      <c r="C961" s="18">
        <v>1.2971</v>
      </c>
      <c r="D961" s="16">
        <v>37347.32</v>
      </c>
      <c r="E961" s="18">
        <v>0.8946</v>
      </c>
      <c r="F961" s="18">
        <v>0.0108</v>
      </c>
      <c r="G961" s="16">
        <v>4349232.48</v>
      </c>
      <c r="H961" s="16">
        <v>5154268.8</v>
      </c>
      <c r="I961" s="7" t="s">
        <v>125</v>
      </c>
    </row>
    <row r="962" ht="15" customHeight="1">
      <c r="A962" s="8">
        <v>960</v>
      </c>
      <c r="B962" s="19">
        <v>0.5922</v>
      </c>
      <c r="C962" s="19">
        <v>1.2334</v>
      </c>
      <c r="D962" s="17">
        <v>22978.43</v>
      </c>
      <c r="E962" s="19">
        <v>0.9252</v>
      </c>
      <c r="F962" s="19">
        <v>0.1087</v>
      </c>
      <c r="G962" s="17">
        <v>3997932.26</v>
      </c>
      <c r="H962" s="17">
        <v>4785448.51</v>
      </c>
      <c r="I962" s="8" t="s">
        <v>125</v>
      </c>
    </row>
    <row r="963" ht="15" customHeight="1">
      <c r="A963" s="7">
        <v>961</v>
      </c>
      <c r="B963" s="18">
        <v>0.6035</v>
      </c>
      <c r="C963" s="18">
        <v>0.732</v>
      </c>
      <c r="D963" s="16">
        <v>25467.86</v>
      </c>
      <c r="E963" s="18">
        <v>0.9045</v>
      </c>
      <c r="F963" s="18">
        <v>0.0502</v>
      </c>
      <c r="G963" s="16">
        <v>1630956.79</v>
      </c>
      <c r="H963" s="16">
        <v>1980312.29</v>
      </c>
      <c r="I963" s="7" t="s">
        <v>125</v>
      </c>
    </row>
    <row r="964" ht="15" customHeight="1">
      <c r="A964" s="8">
        <v>962</v>
      </c>
      <c r="B964" s="19">
        <v>0.7021</v>
      </c>
      <c r="C964" s="19">
        <v>1.1431</v>
      </c>
      <c r="D964" s="17">
        <v>33651.76</v>
      </c>
      <c r="E964" s="19">
        <v>0.8632</v>
      </c>
      <c r="F964" s="19">
        <v>0.1098</v>
      </c>
      <c r="G964" s="17">
        <v>3804206.87</v>
      </c>
      <c r="H964" s="17">
        <v>4560523.09</v>
      </c>
      <c r="I964" s="8" t="s">
        <v>125</v>
      </c>
    </row>
    <row r="965" ht="15" customHeight="1">
      <c r="A965" s="7">
        <v>963</v>
      </c>
      <c r="B965" s="18">
        <v>0.5398</v>
      </c>
      <c r="C965" s="18">
        <v>0.9178</v>
      </c>
      <c r="D965" s="16">
        <v>29522.51</v>
      </c>
      <c r="E965" s="18">
        <v>0.8017</v>
      </c>
      <c r="F965" s="18">
        <v>0.0734</v>
      </c>
      <c r="G965" s="16">
        <v>1576499.98</v>
      </c>
      <c r="H965" s="16">
        <v>1922611.84</v>
      </c>
      <c r="I965" s="7" t="s">
        <v>125</v>
      </c>
    </row>
    <row r="966" ht="15" customHeight="1">
      <c r="A966" s="8">
        <v>964</v>
      </c>
      <c r="B966" s="19">
        <v>0.822</v>
      </c>
      <c r="C966" s="19">
        <v>0.8046</v>
      </c>
      <c r="D966" s="17">
        <v>28852.46</v>
      </c>
      <c r="E966" s="19">
        <v>0.8963</v>
      </c>
      <c r="F966" s="19">
        <v>0.1372</v>
      </c>
      <c r="G966" s="17">
        <v>3364613.83</v>
      </c>
      <c r="H966" s="17">
        <v>4050898.84</v>
      </c>
      <c r="I966" s="8" t="s">
        <v>125</v>
      </c>
    </row>
    <row r="967" ht="15" customHeight="1">
      <c r="A967" s="7">
        <v>965</v>
      </c>
      <c r="B967" s="18">
        <v>0.6407</v>
      </c>
      <c r="C967" s="18">
        <v>1.0825</v>
      </c>
      <c r="D967" s="16">
        <v>30905.1</v>
      </c>
      <c r="E967" s="18">
        <v>0.9096</v>
      </c>
      <c r="F967" s="18">
        <v>0.0618</v>
      </c>
      <c r="G967" s="16">
        <v>3132165.4</v>
      </c>
      <c r="H967" s="16">
        <v>3748836.2</v>
      </c>
      <c r="I967" s="7" t="s">
        <v>125</v>
      </c>
    </row>
    <row r="968" ht="15" customHeight="1">
      <c r="A968" s="8">
        <v>966</v>
      </c>
      <c r="B968" s="19">
        <v>0.8026</v>
      </c>
      <c r="C968" s="19">
        <v>1.186</v>
      </c>
      <c r="D968" s="17">
        <v>25796.98</v>
      </c>
      <c r="E968" s="19">
        <v>0.9289</v>
      </c>
      <c r="F968" s="19">
        <v>0.1036</v>
      </c>
      <c r="G968" s="17">
        <v>5425915.94</v>
      </c>
      <c r="H968" s="17">
        <v>6467897.72</v>
      </c>
      <c r="I968" s="8" t="s">
        <v>125</v>
      </c>
    </row>
    <row r="969" ht="15" customHeight="1">
      <c r="A969" s="7">
        <v>967</v>
      </c>
      <c r="B969" s="18">
        <v>0.4514</v>
      </c>
      <c r="C969" s="18">
        <v>1.2168</v>
      </c>
      <c r="D969" s="16">
        <v>18587.01</v>
      </c>
      <c r="E969" s="18">
        <v>0.8781</v>
      </c>
      <c r="F969" s="18">
        <v>0.0816</v>
      </c>
      <c r="G969" s="16">
        <v>2558560.27</v>
      </c>
      <c r="H969" s="16">
        <v>3078370.24</v>
      </c>
      <c r="I969" s="7" t="s">
        <v>125</v>
      </c>
    </row>
    <row r="970" ht="15" customHeight="1">
      <c r="A970" s="8">
        <v>968</v>
      </c>
      <c r="B970" s="19">
        <v>0.6077</v>
      </c>
      <c r="C970" s="19">
        <v>0.9559</v>
      </c>
      <c r="D970" s="17">
        <v>33525.63</v>
      </c>
      <c r="E970" s="19">
        <v>0.9105</v>
      </c>
      <c r="F970" s="19">
        <v>0.1057</v>
      </c>
      <c r="G970" s="17">
        <v>2558763.94</v>
      </c>
      <c r="H970" s="17">
        <v>3089925.08</v>
      </c>
      <c r="I970" s="8" t="s">
        <v>125</v>
      </c>
    </row>
    <row r="971" ht="15" customHeight="1">
      <c r="A971" s="7">
        <v>969</v>
      </c>
      <c r="B971" s="18">
        <v>0.5092</v>
      </c>
      <c r="C971" s="18">
        <v>0.8391</v>
      </c>
      <c r="D971" s="16">
        <v>29056.85</v>
      </c>
      <c r="E971" s="18">
        <v>0.7796</v>
      </c>
      <c r="F971" s="18">
        <v>0.0658</v>
      </c>
      <c r="G971" s="16">
        <v>1109756.23</v>
      </c>
      <c r="H971" s="16">
        <v>1371810.75</v>
      </c>
      <c r="I971" s="7" t="s">
        <v>125</v>
      </c>
    </row>
    <row r="972" ht="15" customHeight="1">
      <c r="A972" s="8">
        <v>970</v>
      </c>
      <c r="B972" s="19">
        <v>0.418</v>
      </c>
      <c r="C972" s="19">
        <v>1.0945</v>
      </c>
      <c r="D972" s="17">
        <v>27375.3</v>
      </c>
      <c r="E972" s="19">
        <v>0.9277</v>
      </c>
      <c r="F972" s="19">
        <v>0.0715</v>
      </c>
      <c r="G972" s="17">
        <v>1829287.94</v>
      </c>
      <c r="H972" s="17">
        <v>2219132</v>
      </c>
      <c r="I972" s="8" t="s">
        <v>125</v>
      </c>
    </row>
    <row r="973" ht="15" customHeight="1">
      <c r="A973" s="7">
        <v>971</v>
      </c>
      <c r="B973" s="18">
        <v>0.6965</v>
      </c>
      <c r="C973" s="18">
        <v>0.6906</v>
      </c>
      <c r="D973" s="16">
        <v>39286.34</v>
      </c>
      <c r="E973" s="18">
        <v>0.9548</v>
      </c>
      <c r="F973" s="18">
        <v>0.1525</v>
      </c>
      <c r="G973" s="16">
        <v>2077520.11</v>
      </c>
      <c r="H973" s="16">
        <v>2537915.71</v>
      </c>
      <c r="I973" s="7" t="s">
        <v>125</v>
      </c>
    </row>
    <row r="974" ht="15" customHeight="1">
      <c r="A974" s="8">
        <v>972</v>
      </c>
      <c r="B974" s="19">
        <v>0.5911</v>
      </c>
      <c r="C974" s="19">
        <v>0.9529</v>
      </c>
      <c r="D974" s="17">
        <v>25597.75</v>
      </c>
      <c r="E974" s="19">
        <v>0.8483</v>
      </c>
      <c r="F974" s="19">
        <v>0.1233</v>
      </c>
      <c r="G974" s="17">
        <v>2504859</v>
      </c>
      <c r="H974" s="17">
        <v>3029408.25</v>
      </c>
      <c r="I974" s="8" t="s">
        <v>125</v>
      </c>
    </row>
    <row r="975" ht="15" customHeight="1">
      <c r="A975" s="7">
        <v>973</v>
      </c>
      <c r="B975" s="18">
        <v>0.5683</v>
      </c>
      <c r="C975" s="18">
        <v>1.0625</v>
      </c>
      <c r="D975" s="16">
        <v>30255.79</v>
      </c>
      <c r="E975" s="18">
        <v>0.8089</v>
      </c>
      <c r="F975" s="18">
        <v>0.0363</v>
      </c>
      <c r="G975" s="16">
        <v>2035128.88</v>
      </c>
      <c r="H975" s="16">
        <v>2451639.73</v>
      </c>
      <c r="I975" s="7" t="s">
        <v>125</v>
      </c>
    </row>
    <row r="976" ht="15" customHeight="1">
      <c r="A976" s="8">
        <v>974</v>
      </c>
      <c r="B976" s="19">
        <v>0.6926</v>
      </c>
      <c r="C976" s="19">
        <v>1.1042</v>
      </c>
      <c r="D976" s="17">
        <v>22984.4</v>
      </c>
      <c r="E976" s="19">
        <v>0.9086</v>
      </c>
      <c r="F976" s="19">
        <v>0.1127</v>
      </c>
      <c r="G976" s="17">
        <v>4166984.75</v>
      </c>
      <c r="H976" s="17">
        <v>4986574.28</v>
      </c>
      <c r="I976" s="8" t="s">
        <v>125</v>
      </c>
    </row>
    <row r="977" ht="15" customHeight="1">
      <c r="A977" s="7">
        <v>975</v>
      </c>
      <c r="B977" s="18">
        <v>0.783</v>
      </c>
      <c r="C977" s="18">
        <v>0.7576</v>
      </c>
      <c r="D977" s="16">
        <v>28172.45</v>
      </c>
      <c r="E977" s="18">
        <v>0.8906</v>
      </c>
      <c r="F977" s="18">
        <v>0.0422</v>
      </c>
      <c r="G977" s="16">
        <v>2399475.05</v>
      </c>
      <c r="H977" s="16">
        <v>2880853.19</v>
      </c>
      <c r="I977" s="7" t="s">
        <v>125</v>
      </c>
    </row>
    <row r="978" ht="15" customHeight="1">
      <c r="A978" s="8">
        <v>976</v>
      </c>
      <c r="B978" s="19">
        <v>0.4975</v>
      </c>
      <c r="C978" s="19">
        <v>1.1002</v>
      </c>
      <c r="D978" s="17">
        <v>27179.7</v>
      </c>
      <c r="E978" s="19">
        <v>0.944</v>
      </c>
      <c r="F978" s="19">
        <v>0.1149</v>
      </c>
      <c r="G978" s="17">
        <v>2709991.72</v>
      </c>
      <c r="H978" s="17">
        <v>3269437.82</v>
      </c>
      <c r="I978" s="8" t="s">
        <v>125</v>
      </c>
    </row>
    <row r="979" ht="15" customHeight="1">
      <c r="A979" s="7">
        <v>977</v>
      </c>
      <c r="B979" s="18">
        <v>0.8424</v>
      </c>
      <c r="C979" s="18">
        <v>1.0954</v>
      </c>
      <c r="D979" s="16">
        <v>24029.34</v>
      </c>
      <c r="E979" s="18">
        <v>0.83</v>
      </c>
      <c r="F979" s="18">
        <v>0.0799</v>
      </c>
      <c r="G979" s="16">
        <v>4425423.42</v>
      </c>
      <c r="H979" s="16">
        <v>5276625.72</v>
      </c>
      <c r="I979" s="7" t="s">
        <v>125</v>
      </c>
    </row>
    <row r="980" ht="15" customHeight="1">
      <c r="A980" s="8">
        <v>978</v>
      </c>
      <c r="B980" s="19">
        <v>0.7735</v>
      </c>
      <c r="C980" s="19">
        <v>1.0297</v>
      </c>
      <c r="D980" s="17">
        <v>29481.45</v>
      </c>
      <c r="E980" s="19">
        <v>0.8447</v>
      </c>
      <c r="F980" s="19">
        <v>0.1355</v>
      </c>
      <c r="G980" s="17">
        <v>3954493.06</v>
      </c>
      <c r="H980" s="17">
        <v>4747595.84</v>
      </c>
      <c r="I980" s="8" t="s">
        <v>125</v>
      </c>
    </row>
    <row r="981" ht="15" customHeight="1">
      <c r="A981" s="7">
        <v>979</v>
      </c>
      <c r="B981" s="18">
        <v>0.8023</v>
      </c>
      <c r="C981" s="18">
        <v>0.9357</v>
      </c>
      <c r="D981" s="16">
        <v>27742.58</v>
      </c>
      <c r="E981" s="18">
        <v>0.8485</v>
      </c>
      <c r="F981" s="18">
        <v>0.1365</v>
      </c>
      <c r="G981" s="16">
        <v>3737331.88</v>
      </c>
      <c r="H981" s="16">
        <v>4490725.76</v>
      </c>
      <c r="I981" s="7" t="s">
        <v>125</v>
      </c>
    </row>
    <row r="982" ht="15" customHeight="1">
      <c r="A982" s="8">
        <v>980</v>
      </c>
      <c r="B982" s="19">
        <v>0.5822</v>
      </c>
      <c r="C982" s="19">
        <v>1.1015</v>
      </c>
      <c r="D982" s="17">
        <v>29984.8</v>
      </c>
      <c r="E982" s="19">
        <v>0.9195</v>
      </c>
      <c r="F982" s="19">
        <v>0.0976</v>
      </c>
      <c r="G982" s="17">
        <v>3073899.51</v>
      </c>
      <c r="H982" s="17">
        <v>3693471.43</v>
      </c>
      <c r="I982" s="8" t="s">
        <v>125</v>
      </c>
    </row>
    <row r="983" ht="15" customHeight="1">
      <c r="A983" s="7">
        <v>981</v>
      </c>
      <c r="B983" s="18">
        <v>0.7171</v>
      </c>
      <c r="C983" s="18">
        <v>1.2889</v>
      </c>
      <c r="D983" s="16">
        <v>33183.1</v>
      </c>
      <c r="E983" s="18">
        <v>0.8645</v>
      </c>
      <c r="F983" s="18">
        <v>0.1702</v>
      </c>
      <c r="G983" s="16">
        <v>5102570.42</v>
      </c>
      <c r="H983" s="16">
        <v>6123694.31</v>
      </c>
      <c r="I983" s="7" t="s">
        <v>125</v>
      </c>
    </row>
    <row r="984" ht="15" customHeight="1">
      <c r="A984" s="8">
        <v>982</v>
      </c>
      <c r="B984" s="19">
        <v>0.8101</v>
      </c>
      <c r="C984" s="19">
        <v>0.8802</v>
      </c>
      <c r="D984" s="17">
        <v>30326.3</v>
      </c>
      <c r="E984" s="19">
        <v>0.8444</v>
      </c>
      <c r="F984" s="19">
        <v>0.0915</v>
      </c>
      <c r="G984" s="17">
        <v>3118765.42</v>
      </c>
      <c r="H984" s="17">
        <v>3744171.39</v>
      </c>
      <c r="I984" s="8" t="s">
        <v>125</v>
      </c>
    </row>
    <row r="985" ht="15" customHeight="1">
      <c r="A985" s="7">
        <v>983</v>
      </c>
      <c r="B985" s="18">
        <v>0.5723</v>
      </c>
      <c r="C985" s="18">
        <v>1.1158</v>
      </c>
      <c r="D985" s="16">
        <v>26035.03</v>
      </c>
      <c r="E985" s="18">
        <v>0.8107</v>
      </c>
      <c r="F985" s="18">
        <v>0.1038</v>
      </c>
      <c r="G985" s="16">
        <v>2696453</v>
      </c>
      <c r="H985" s="16">
        <v>3249552.82</v>
      </c>
      <c r="I985" s="7" t="s">
        <v>125</v>
      </c>
    </row>
    <row r="986" ht="15" customHeight="1">
      <c r="A986" s="8">
        <v>984</v>
      </c>
      <c r="B986" s="19">
        <v>0.5441</v>
      </c>
      <c r="C986" s="19">
        <v>1.0968</v>
      </c>
      <c r="D986" s="17">
        <v>28601.95</v>
      </c>
      <c r="E986" s="19">
        <v>0.8976</v>
      </c>
      <c r="F986" s="19">
        <v>0.083</v>
      </c>
      <c r="G986" s="17">
        <v>2642788.59</v>
      </c>
      <c r="H986" s="17">
        <v>3180202.67</v>
      </c>
      <c r="I986" s="8" t="s">
        <v>125</v>
      </c>
    </row>
    <row r="987" ht="15" customHeight="1">
      <c r="A987" s="7">
        <v>985</v>
      </c>
      <c r="B987" s="18">
        <v>0.7415</v>
      </c>
      <c r="C987" s="18">
        <v>0.9485</v>
      </c>
      <c r="D987" s="16">
        <v>25738.38</v>
      </c>
      <c r="E987" s="18">
        <v>0.9595</v>
      </c>
      <c r="F987" s="18">
        <v>0.1318</v>
      </c>
      <c r="G987" s="16">
        <v>4060772.82</v>
      </c>
      <c r="H987" s="16">
        <v>4870274.33</v>
      </c>
      <c r="I987" s="7" t="s">
        <v>125</v>
      </c>
    </row>
    <row r="988" ht="15" customHeight="1">
      <c r="A988" s="8">
        <v>986</v>
      </c>
      <c r="B988" s="19">
        <v>0.4099</v>
      </c>
      <c r="C988" s="19">
        <v>1.1154</v>
      </c>
      <c r="D988" s="17">
        <v>26188.46</v>
      </c>
      <c r="E988" s="19">
        <v>0.9229</v>
      </c>
      <c r="F988" s="19">
        <v>0.1129</v>
      </c>
      <c r="G988" s="17">
        <v>2017497.52</v>
      </c>
      <c r="H988" s="17">
        <v>2451397.96</v>
      </c>
      <c r="I988" s="8" t="s">
        <v>125</v>
      </c>
    </row>
    <row r="989" ht="15" customHeight="1">
      <c r="A989" s="7">
        <v>987</v>
      </c>
      <c r="B989" s="18">
        <v>0.7514</v>
      </c>
      <c r="C989" s="18">
        <v>0.8774</v>
      </c>
      <c r="D989" s="16">
        <v>25495.35</v>
      </c>
      <c r="E989" s="18">
        <v>0.8982</v>
      </c>
      <c r="F989" s="18">
        <v>0.0591</v>
      </c>
      <c r="G989" s="16">
        <v>3011973.9</v>
      </c>
      <c r="H989" s="16">
        <v>3605663.36</v>
      </c>
      <c r="I989" s="7" t="s">
        <v>125</v>
      </c>
    </row>
    <row r="990" ht="15" customHeight="1">
      <c r="A990" s="8">
        <v>988</v>
      </c>
      <c r="B990" s="19">
        <v>0.6432</v>
      </c>
      <c r="C990" s="19">
        <v>1.2043</v>
      </c>
      <c r="D990" s="17">
        <v>31596.37</v>
      </c>
      <c r="E990" s="19">
        <v>0.9092</v>
      </c>
      <c r="F990" s="19">
        <v>0.0434</v>
      </c>
      <c r="G990" s="17">
        <v>3506319.37</v>
      </c>
      <c r="H990" s="17">
        <v>4181061.56</v>
      </c>
      <c r="I990" s="8" t="s">
        <v>125</v>
      </c>
    </row>
    <row r="991" ht="15" customHeight="1">
      <c r="A991" s="7">
        <v>989</v>
      </c>
      <c r="B991" s="18">
        <v>0.6047</v>
      </c>
      <c r="C991" s="18">
        <v>0.8404</v>
      </c>
      <c r="D991" s="16">
        <v>33369.17</v>
      </c>
      <c r="E991" s="18">
        <v>0.8034</v>
      </c>
      <c r="F991" s="18">
        <v>0.0846</v>
      </c>
      <c r="G991" s="16">
        <v>1581624.81</v>
      </c>
      <c r="H991" s="16">
        <v>1932253.91</v>
      </c>
      <c r="I991" s="7" t="s">
        <v>125</v>
      </c>
    </row>
    <row r="992" ht="15" customHeight="1">
      <c r="A992" s="8">
        <v>990</v>
      </c>
      <c r="B992" s="19">
        <v>0.5292</v>
      </c>
      <c r="C992" s="19">
        <v>1.2325</v>
      </c>
      <c r="D992" s="17">
        <v>23212.3</v>
      </c>
      <c r="E992" s="19">
        <v>0.8706</v>
      </c>
      <c r="F992" s="19">
        <v>0.0811</v>
      </c>
      <c r="G992" s="17">
        <v>3030818.93</v>
      </c>
      <c r="H992" s="17">
        <v>3635200.76</v>
      </c>
      <c r="I992" s="8" t="s">
        <v>125</v>
      </c>
    </row>
    <row r="993" ht="15" customHeight="1">
      <c r="A993" s="7">
        <v>991</v>
      </c>
      <c r="B993" s="18">
        <v>0.4274</v>
      </c>
      <c r="C993" s="18">
        <v>0.7829</v>
      </c>
      <c r="D993" s="16">
        <v>35786.77</v>
      </c>
      <c r="E993" s="18">
        <v>0.8876</v>
      </c>
      <c r="F993" s="18">
        <v>0.1617</v>
      </c>
      <c r="G993" s="16">
        <v>929041.11</v>
      </c>
      <c r="H993" s="16">
        <v>1179437.69</v>
      </c>
      <c r="I993" s="7" t="s">
        <v>125</v>
      </c>
    </row>
    <row r="994" ht="15" customHeight="1">
      <c r="A994" s="8">
        <v>992</v>
      </c>
      <c r="B994" s="19">
        <v>0.5239</v>
      </c>
      <c r="C994" s="19">
        <v>1.1303</v>
      </c>
      <c r="D994" s="17">
        <v>29725.23</v>
      </c>
      <c r="E994" s="19">
        <v>0.905</v>
      </c>
      <c r="F994" s="19">
        <v>0.0907</v>
      </c>
      <c r="G994" s="17">
        <v>2649846.57</v>
      </c>
      <c r="H994" s="17">
        <v>3191321.3</v>
      </c>
      <c r="I994" s="8" t="s">
        <v>125</v>
      </c>
    </row>
    <row r="995" ht="15" customHeight="1">
      <c r="A995" s="7">
        <v>993</v>
      </c>
      <c r="B995" s="18">
        <v>0.5082</v>
      </c>
      <c r="C995" s="18">
        <v>0.8444</v>
      </c>
      <c r="D995" s="16">
        <v>22572.31</v>
      </c>
      <c r="E995" s="18">
        <v>0.8865</v>
      </c>
      <c r="F995" s="18">
        <v>0.0727</v>
      </c>
      <c r="G995" s="16">
        <v>1668290.48</v>
      </c>
      <c r="H995" s="16">
        <v>2029062.67</v>
      </c>
      <c r="I995" s="7" t="s">
        <v>125</v>
      </c>
    </row>
    <row r="996" ht="15" customHeight="1">
      <c r="A996" s="8">
        <v>994</v>
      </c>
      <c r="B996" s="19">
        <v>0.4194</v>
      </c>
      <c r="C996" s="19">
        <v>1.2042</v>
      </c>
      <c r="D996" s="17">
        <v>29461.5</v>
      </c>
      <c r="E996" s="19">
        <v>0.9016</v>
      </c>
      <c r="F996" s="19">
        <v>0.1243</v>
      </c>
      <c r="G996" s="17">
        <v>2219373.32</v>
      </c>
      <c r="H996" s="17">
        <v>2693847.56</v>
      </c>
      <c r="I996" s="8" t="s">
        <v>125</v>
      </c>
    </row>
    <row r="997" ht="15" customHeight="1">
      <c r="A997" s="7">
        <v>995</v>
      </c>
      <c r="B997" s="18">
        <v>0.6552</v>
      </c>
      <c r="C997" s="18">
        <v>0.7612</v>
      </c>
      <c r="D997" s="16">
        <v>35503.57</v>
      </c>
      <c r="E997" s="18">
        <v>0.9094</v>
      </c>
      <c r="F997" s="18">
        <v>0.1061</v>
      </c>
      <c r="G997" s="16">
        <v>1938214.08</v>
      </c>
      <c r="H997" s="16">
        <v>2358753.96</v>
      </c>
      <c r="I997" s="7" t="s">
        <v>125</v>
      </c>
    </row>
    <row r="998" ht="15" customHeight="1">
      <c r="A998" s="8">
        <v>996</v>
      </c>
      <c r="B998" s="19">
        <v>0.832</v>
      </c>
      <c r="C998" s="19">
        <v>0.9485</v>
      </c>
      <c r="D998" s="17">
        <v>25154.1</v>
      </c>
      <c r="E998" s="19">
        <v>0.9239</v>
      </c>
      <c r="F998" s="19">
        <v>0.0163</v>
      </c>
      <c r="G998" s="17">
        <v>3693677.74</v>
      </c>
      <c r="H998" s="17">
        <v>4388604.51</v>
      </c>
      <c r="I998" s="8" t="s">
        <v>125</v>
      </c>
    </row>
    <row r="999" ht="15" customHeight="1">
      <c r="A999" s="7">
        <v>997</v>
      </c>
      <c r="B999" s="18">
        <v>0.3377</v>
      </c>
      <c r="C999" s="18">
        <v>0.9367</v>
      </c>
      <c r="D999" s="16">
        <v>30406.71</v>
      </c>
      <c r="E999" s="18">
        <v>0.9118</v>
      </c>
      <c r="F999" s="18">
        <v>0.1171</v>
      </c>
      <c r="G999" s="16">
        <v>895581.03</v>
      </c>
      <c r="H999" s="16">
        <v>1129659.14</v>
      </c>
      <c r="I999" s="7" t="s">
        <v>125</v>
      </c>
    </row>
    <row r="1000" ht="15" customHeight="1">
      <c r="A1000" s="8">
        <v>998</v>
      </c>
      <c r="B1000" s="19">
        <v>0.764</v>
      </c>
      <c r="C1000" s="19">
        <v>0.735</v>
      </c>
      <c r="D1000" s="17">
        <v>34788.71</v>
      </c>
      <c r="E1000" s="19">
        <v>0.9612</v>
      </c>
      <c r="F1000" s="19">
        <v>0.0561</v>
      </c>
      <c r="G1000" s="17">
        <v>2343693.68</v>
      </c>
      <c r="H1000" s="17">
        <v>2820717.45</v>
      </c>
      <c r="I1000" s="8" t="s">
        <v>125</v>
      </c>
    </row>
    <row r="1001" ht="15" customHeight="1">
      <c r="A1001" s="7">
        <v>999</v>
      </c>
      <c r="B1001" s="18">
        <v>0.6081</v>
      </c>
      <c r="C1001" s="18">
        <v>0.7829</v>
      </c>
      <c r="D1001" s="16">
        <v>24217.66</v>
      </c>
      <c r="E1001" s="18">
        <v>0.8038</v>
      </c>
      <c r="F1001" s="18">
        <v>0.1115</v>
      </c>
      <c r="G1001" s="16">
        <v>1777799.14</v>
      </c>
      <c r="H1001" s="16">
        <v>2167641.29</v>
      </c>
      <c r="I1001" s="7" t="s">
        <v>125</v>
      </c>
    </row>
    <row r="1002" ht="15" customHeight="1">
      <c r="A1002" s="8">
        <v>1000</v>
      </c>
      <c r="B1002" s="19">
        <v>0.3939</v>
      </c>
      <c r="C1002" s="19">
        <v>1.1543</v>
      </c>
      <c r="D1002" s="17">
        <v>25505.86</v>
      </c>
      <c r="E1002" s="19">
        <v>0.8839</v>
      </c>
      <c r="F1002" s="19">
        <v>0.1045</v>
      </c>
      <c r="G1002" s="17">
        <v>1854605.58</v>
      </c>
      <c r="H1002" s="17">
        <v>2256908.91</v>
      </c>
      <c r="I1002" s="8" t="s">
        <v>125</v>
      </c>
    </row>
    <row r="1003" ht="15" customHeight="1">
      <c r="A1003" s="7">
        <v>1001</v>
      </c>
      <c r="B1003" s="18">
        <v>0.5933</v>
      </c>
      <c r="C1003" s="18">
        <v>0.9453</v>
      </c>
      <c r="D1003" s="16">
        <v>24781.55</v>
      </c>
      <c r="E1003" s="18">
        <v>0.9376</v>
      </c>
      <c r="F1003" s="18">
        <v>0.1115</v>
      </c>
      <c r="G1003" s="16">
        <v>2834892.4</v>
      </c>
      <c r="H1003" s="16">
        <v>3414977.24</v>
      </c>
      <c r="I1003" s="7" t="s">
        <v>125</v>
      </c>
    </row>
    <row r="1004" ht="15" customHeight="1">
      <c r="A1004" s="8">
        <v>1002</v>
      </c>
      <c r="B1004" s="19">
        <v>0.6253</v>
      </c>
      <c r="C1004" s="19">
        <v>1.1209</v>
      </c>
      <c r="D1004" s="17">
        <v>36340.87</v>
      </c>
      <c r="E1004" s="19">
        <v>0.9056</v>
      </c>
      <c r="F1004" s="19">
        <v>0.1023</v>
      </c>
      <c r="G1004" s="17">
        <v>3240277.41</v>
      </c>
      <c r="H1004" s="17">
        <v>3893126.71</v>
      </c>
      <c r="I1004" s="8" t="s">
        <v>125</v>
      </c>
    </row>
    <row r="1005" ht="15" customHeight="1">
      <c r="A1005" s="7">
        <v>1003</v>
      </c>
      <c r="B1005" s="18">
        <v>0.6252</v>
      </c>
      <c r="C1005" s="18">
        <v>0.7828</v>
      </c>
      <c r="D1005" s="16">
        <v>29776.04</v>
      </c>
      <c r="E1005" s="18">
        <v>0.8476</v>
      </c>
      <c r="F1005" s="18">
        <v>0.1431</v>
      </c>
      <c r="G1005" s="16">
        <v>1978988.42</v>
      </c>
      <c r="H1005" s="16">
        <v>2415077.68</v>
      </c>
      <c r="I1005" s="7" t="s">
        <v>125</v>
      </c>
    </row>
    <row r="1006" ht="15" customHeight="1">
      <c r="A1006" s="8">
        <v>1004</v>
      </c>
      <c r="B1006" s="19">
        <v>0.7459</v>
      </c>
      <c r="C1006" s="19">
        <v>0.9894</v>
      </c>
      <c r="D1006" s="17">
        <v>35126</v>
      </c>
      <c r="E1006" s="19">
        <v>0.9406</v>
      </c>
      <c r="F1006" s="19">
        <v>0.15</v>
      </c>
      <c r="G1006" s="17">
        <v>4048729.73</v>
      </c>
      <c r="H1006" s="17">
        <v>4867409.6</v>
      </c>
      <c r="I1006" s="8" t="s">
        <v>125</v>
      </c>
    </row>
    <row r="1007" ht="15" customHeight="1">
      <c r="A1007" s="7">
        <v>1005</v>
      </c>
      <c r="B1007" s="18">
        <v>0.5481</v>
      </c>
      <c r="C1007" s="18">
        <v>0.958</v>
      </c>
      <c r="D1007" s="16">
        <v>29811.34</v>
      </c>
      <c r="E1007" s="18">
        <v>0.9238</v>
      </c>
      <c r="F1007" s="18">
        <v>0.0668</v>
      </c>
      <c r="G1007" s="16">
        <v>2164751.35</v>
      </c>
      <c r="H1007" s="16">
        <v>2612864.44</v>
      </c>
      <c r="I1007" s="7" t="s">
        <v>125</v>
      </c>
    </row>
    <row r="1008" ht="15" customHeight="1">
      <c r="A1008" s="8">
        <v>1006</v>
      </c>
      <c r="B1008" s="19">
        <v>0.5833</v>
      </c>
      <c r="C1008" s="19">
        <v>0.9587</v>
      </c>
      <c r="D1008" s="17">
        <v>23845.47</v>
      </c>
      <c r="E1008" s="19">
        <v>0.9131</v>
      </c>
      <c r="F1008" s="19">
        <v>0.1209</v>
      </c>
      <c r="G1008" s="17">
        <v>2796906.62</v>
      </c>
      <c r="H1008" s="17">
        <v>3372896.83</v>
      </c>
      <c r="I1008" s="8" t="s">
        <v>125</v>
      </c>
    </row>
    <row r="1009" ht="15" customHeight="1">
      <c r="A1009" s="7">
        <v>1007</v>
      </c>
      <c r="B1009" s="18">
        <v>0.3292</v>
      </c>
      <c r="C1009" s="18">
        <v>0.927</v>
      </c>
      <c r="D1009" s="16">
        <v>34264.25</v>
      </c>
      <c r="E1009" s="18">
        <v>0.9359</v>
      </c>
      <c r="F1009" s="18">
        <v>0.1318</v>
      </c>
      <c r="G1009" s="16">
        <v>797688.94</v>
      </c>
      <c r="H1009" s="16">
        <v>1017987.82</v>
      </c>
      <c r="I1009" s="7" t="s">
        <v>125</v>
      </c>
    </row>
    <row r="1010" ht="15" customHeight="1">
      <c r="A1010" s="8">
        <v>1008</v>
      </c>
      <c r="B1010" s="19">
        <v>0.7004</v>
      </c>
      <c r="C1010" s="19">
        <v>0.711</v>
      </c>
      <c r="D1010" s="17">
        <v>31414.06</v>
      </c>
      <c r="E1010" s="19">
        <v>0.85</v>
      </c>
      <c r="F1010" s="19">
        <v>0.1066</v>
      </c>
      <c r="G1010" s="17">
        <v>1841052.93</v>
      </c>
      <c r="H1010" s="17">
        <v>2243149.86</v>
      </c>
      <c r="I1010" s="8" t="s">
        <v>125</v>
      </c>
    </row>
    <row r="1011" ht="15" customHeight="1">
      <c r="A1011" s="7">
        <v>1009</v>
      </c>
      <c r="B1011" s="18">
        <v>0.7817</v>
      </c>
      <c r="C1011" s="18">
        <v>0.7476</v>
      </c>
      <c r="D1011" s="16">
        <v>26325.62</v>
      </c>
      <c r="E1011" s="18">
        <v>0.8726</v>
      </c>
      <c r="F1011" s="18">
        <v>0.0662</v>
      </c>
      <c r="G1011" s="16">
        <v>2445571.25</v>
      </c>
      <c r="H1011" s="16">
        <v>2942296.47</v>
      </c>
      <c r="I1011" s="7" t="s">
        <v>125</v>
      </c>
    </row>
    <row r="1012" ht="15" customHeight="1">
      <c r="A1012" s="8">
        <v>1010</v>
      </c>
      <c r="B1012" s="19">
        <v>0.4071</v>
      </c>
      <c r="C1012" s="19">
        <v>1.0934</v>
      </c>
      <c r="D1012" s="17">
        <v>29204.96</v>
      </c>
      <c r="E1012" s="19">
        <v>0.9157</v>
      </c>
      <c r="F1012" s="19">
        <v>0.0677</v>
      </c>
      <c r="G1012" s="17">
        <v>1638984.91</v>
      </c>
      <c r="H1012" s="17">
        <v>1994669.97</v>
      </c>
      <c r="I1012" s="8" t="s">
        <v>125</v>
      </c>
    </row>
    <row r="1013" ht="15" customHeight="1">
      <c r="A1013" s="7">
        <v>1011</v>
      </c>
      <c r="B1013" s="18">
        <v>0.5839</v>
      </c>
      <c r="C1013" s="18">
        <v>1.0176</v>
      </c>
      <c r="D1013" s="16">
        <v>23358.38</v>
      </c>
      <c r="E1013" s="18">
        <v>0.931</v>
      </c>
      <c r="F1013" s="18">
        <v>0.0162</v>
      </c>
      <c r="G1013" s="16">
        <v>2585982.29</v>
      </c>
      <c r="H1013" s="16">
        <v>3090730.11</v>
      </c>
      <c r="I1013" s="7" t="s">
        <v>125</v>
      </c>
    </row>
    <row r="1014" ht="15" customHeight="1">
      <c r="A1014" s="8">
        <v>1012</v>
      </c>
      <c r="B1014" s="19">
        <v>0.5413</v>
      </c>
      <c r="C1014" s="19">
        <v>1.2487</v>
      </c>
      <c r="D1014" s="17">
        <v>30968.8</v>
      </c>
      <c r="E1014" s="19">
        <v>0.9278</v>
      </c>
      <c r="F1014" s="19">
        <v>0.0353</v>
      </c>
      <c r="G1014" s="17">
        <v>2949613.06</v>
      </c>
      <c r="H1014" s="17">
        <v>3524361.48</v>
      </c>
      <c r="I1014" s="8" t="s">
        <v>125</v>
      </c>
    </row>
    <row r="1015" ht="15" customHeight="1">
      <c r="A1015" s="7">
        <v>1013</v>
      </c>
      <c r="B1015" s="18">
        <v>0.5351</v>
      </c>
      <c r="C1015" s="18">
        <v>0.887</v>
      </c>
      <c r="D1015" s="16">
        <v>26589.07</v>
      </c>
      <c r="E1015" s="18">
        <v>0.8909</v>
      </c>
      <c r="F1015" s="18">
        <v>0.0724</v>
      </c>
      <c r="G1015" s="16">
        <v>1845987.04</v>
      </c>
      <c r="H1015" s="16">
        <v>2238841.15</v>
      </c>
      <c r="I1015" s="7" t="s">
        <v>125</v>
      </c>
    </row>
    <row r="1016" ht="15" customHeight="1">
      <c r="A1016" s="8">
        <v>1014</v>
      </c>
      <c r="B1016" s="19">
        <v>0.6674</v>
      </c>
      <c r="C1016" s="19">
        <v>0.8242</v>
      </c>
      <c r="D1016" s="17">
        <v>34710.95</v>
      </c>
      <c r="E1016" s="19">
        <v>0.9096</v>
      </c>
      <c r="F1016" s="19">
        <v>0.0592</v>
      </c>
      <c r="G1016" s="17">
        <v>2086181.23</v>
      </c>
      <c r="H1016" s="17">
        <v>2519035.3</v>
      </c>
      <c r="I1016" s="8" t="s">
        <v>125</v>
      </c>
    </row>
    <row r="1017" ht="15" customHeight="1">
      <c r="A1017" s="7">
        <v>1015</v>
      </c>
      <c r="B1017" s="18">
        <v>0.5192</v>
      </c>
      <c r="C1017" s="18">
        <v>1.105</v>
      </c>
      <c r="D1017" s="16">
        <v>30417.62</v>
      </c>
      <c r="E1017" s="18">
        <v>0.9147</v>
      </c>
      <c r="F1017" s="18">
        <v>0.2085</v>
      </c>
      <c r="G1017" s="16">
        <v>3176886.99</v>
      </c>
      <c r="H1017" s="16">
        <v>3854635.3</v>
      </c>
      <c r="I1017" s="7" t="s">
        <v>125</v>
      </c>
    </row>
    <row r="1018" ht="15" customHeight="1">
      <c r="A1018" s="8">
        <v>1016</v>
      </c>
      <c r="B1018" s="19">
        <v>0.3738</v>
      </c>
      <c r="C1018" s="19">
        <v>1.0028</v>
      </c>
      <c r="D1018" s="17">
        <v>30221.99</v>
      </c>
      <c r="E1018" s="19">
        <v>0.8077</v>
      </c>
      <c r="F1018" s="19">
        <v>0.1567</v>
      </c>
      <c r="G1018" s="17">
        <v>1130694.88</v>
      </c>
      <c r="H1018" s="17">
        <v>1414856.21</v>
      </c>
      <c r="I1018" s="8" t="s">
        <v>125</v>
      </c>
    </row>
    <row r="1019" ht="15" customHeight="1">
      <c r="A1019" s="7">
        <v>1017</v>
      </c>
      <c r="B1019" s="18">
        <v>0.6744</v>
      </c>
      <c r="C1019" s="18">
        <v>1.0628</v>
      </c>
      <c r="D1019" s="16">
        <v>21473.15</v>
      </c>
      <c r="E1019" s="18">
        <v>0.9576</v>
      </c>
      <c r="F1019" s="18">
        <v>0.1337</v>
      </c>
      <c r="G1019" s="16">
        <v>4293824.49</v>
      </c>
      <c r="H1019" s="16">
        <v>5144941.54</v>
      </c>
      <c r="I1019" s="7" t="s">
        <v>125</v>
      </c>
    </row>
    <row r="1020" ht="15" customHeight="1">
      <c r="A1020" s="8">
        <v>1018</v>
      </c>
      <c r="B1020" s="19">
        <v>0.5297</v>
      </c>
      <c r="C1020" s="19">
        <v>0.9887</v>
      </c>
      <c r="D1020" s="17">
        <v>24913.4</v>
      </c>
      <c r="E1020" s="19">
        <v>0.9324</v>
      </c>
      <c r="F1020" s="19">
        <v>0.1642</v>
      </c>
      <c r="G1020" s="17">
        <v>2808567.26</v>
      </c>
      <c r="H1020" s="17">
        <v>3400752.19</v>
      </c>
      <c r="I1020" s="8" t="s">
        <v>125</v>
      </c>
    </row>
    <row r="1021" ht="15" customHeight="1">
      <c r="A1021" s="7">
        <v>1019</v>
      </c>
      <c r="B1021" s="18">
        <v>0.6437</v>
      </c>
      <c r="C1021" s="18">
        <v>1.2049</v>
      </c>
      <c r="D1021" s="16">
        <v>30523.51</v>
      </c>
      <c r="E1021" s="18">
        <v>0.9107</v>
      </c>
      <c r="F1021" s="18">
        <v>0.0758</v>
      </c>
      <c r="G1021" s="16">
        <v>3769014.24</v>
      </c>
      <c r="H1021" s="16">
        <v>4503553.06</v>
      </c>
      <c r="I1021" s="7" t="s">
        <v>125</v>
      </c>
    </row>
    <row r="1022" ht="15" customHeight="1">
      <c r="A1022" s="8">
        <v>1020</v>
      </c>
      <c r="B1022" s="19">
        <v>0.7225</v>
      </c>
      <c r="C1022" s="19">
        <v>0.9716</v>
      </c>
      <c r="D1022" s="17">
        <v>19349.2</v>
      </c>
      <c r="E1022" s="19">
        <v>0.9248</v>
      </c>
      <c r="F1022" s="19">
        <v>0.1466</v>
      </c>
      <c r="G1022" s="17">
        <v>4156224.96</v>
      </c>
      <c r="H1022" s="17">
        <v>4986906.39</v>
      </c>
      <c r="I1022" s="8" t="s">
        <v>125</v>
      </c>
    </row>
    <row r="1023" ht="15" customHeight="1">
      <c r="A1023" s="7">
        <v>1021</v>
      </c>
      <c r="B1023" s="18">
        <v>0.5958</v>
      </c>
      <c r="C1023" s="18">
        <v>1.1611</v>
      </c>
      <c r="D1023" s="16">
        <v>23752.24</v>
      </c>
      <c r="E1023" s="18">
        <v>0.845</v>
      </c>
      <c r="F1023" s="18">
        <v>0.0466</v>
      </c>
      <c r="G1023" s="16">
        <v>2944118.08</v>
      </c>
      <c r="H1023" s="16">
        <v>3521238.09</v>
      </c>
      <c r="I1023" s="7" t="s">
        <v>125</v>
      </c>
    </row>
    <row r="1024" ht="15" customHeight="1">
      <c r="A1024" s="8">
        <v>1022</v>
      </c>
      <c r="B1024" s="19">
        <v>0.798</v>
      </c>
      <c r="C1024" s="19">
        <v>1.1156</v>
      </c>
      <c r="D1024" s="17">
        <v>26199.63</v>
      </c>
      <c r="E1024" s="19">
        <v>0.9257</v>
      </c>
      <c r="F1024" s="19">
        <v>0.0938</v>
      </c>
      <c r="G1024" s="17">
        <v>4887413.91</v>
      </c>
      <c r="H1024" s="17">
        <v>5828056.75</v>
      </c>
      <c r="I1024" s="8" t="s">
        <v>125</v>
      </c>
    </row>
    <row r="1025" ht="15" customHeight="1">
      <c r="A1025" s="7">
        <v>1023</v>
      </c>
      <c r="B1025" s="18">
        <v>0.6066</v>
      </c>
      <c r="C1025" s="18">
        <v>0.6308</v>
      </c>
      <c r="D1025" s="16">
        <v>33844.34</v>
      </c>
      <c r="E1025" s="18">
        <v>0.9394</v>
      </c>
      <c r="F1025" s="18">
        <v>0.1561</v>
      </c>
      <c r="G1025" s="16">
        <v>1468120.96</v>
      </c>
      <c r="H1025" s="16">
        <v>1815536.62</v>
      </c>
      <c r="I1025" s="7" t="s">
        <v>125</v>
      </c>
    </row>
    <row r="1026" ht="15" customHeight="1">
      <c r="A1026" s="8">
        <v>1024</v>
      </c>
      <c r="B1026" s="19">
        <v>0.3777</v>
      </c>
      <c r="C1026" s="19">
        <v>0.9925</v>
      </c>
      <c r="D1026" s="17">
        <v>27107.37</v>
      </c>
      <c r="E1026" s="19">
        <v>0.9164</v>
      </c>
      <c r="F1026" s="19">
        <v>0.1636</v>
      </c>
      <c r="G1026" s="17">
        <v>1575327.95</v>
      </c>
      <c r="H1026" s="17">
        <v>1941301.66</v>
      </c>
      <c r="I1026" s="8" t="s">
        <v>125</v>
      </c>
    </row>
    <row r="1027" ht="15" customHeight="1">
      <c r="A1027" s="7">
        <v>1025</v>
      </c>
      <c r="B1027" s="18">
        <v>0.6946</v>
      </c>
      <c r="C1027" s="18">
        <v>1.3171</v>
      </c>
      <c r="D1027" s="16">
        <v>27715.5</v>
      </c>
      <c r="E1027" s="18">
        <v>0.8767</v>
      </c>
      <c r="F1027" s="18">
        <v>0.1504</v>
      </c>
      <c r="G1027" s="16">
        <v>5131730.33</v>
      </c>
      <c r="H1027" s="16">
        <v>6145824.86</v>
      </c>
      <c r="I1027" s="7" t="s">
        <v>125</v>
      </c>
    </row>
    <row r="1028" ht="15" customHeight="1">
      <c r="A1028" s="8">
        <v>1026</v>
      </c>
      <c r="B1028" s="19">
        <v>0.5675</v>
      </c>
      <c r="C1028" s="19">
        <v>1.1014</v>
      </c>
      <c r="D1028" s="17">
        <v>26861.88</v>
      </c>
      <c r="E1028" s="19">
        <v>0.8327</v>
      </c>
      <c r="F1028" s="19">
        <v>0.0621</v>
      </c>
      <c r="G1028" s="17">
        <v>2482939.37</v>
      </c>
      <c r="H1028" s="17">
        <v>2985034.37</v>
      </c>
      <c r="I1028" s="8" t="s">
        <v>125</v>
      </c>
    </row>
    <row r="1029" ht="15" customHeight="1">
      <c r="A1029" s="7">
        <v>1027</v>
      </c>
      <c r="B1029" s="18">
        <v>0.5023</v>
      </c>
      <c r="C1029" s="18">
        <v>1.1496</v>
      </c>
      <c r="D1029" s="16">
        <v>32312.77</v>
      </c>
      <c r="E1029" s="18">
        <v>0.9099</v>
      </c>
      <c r="F1029" s="18">
        <v>0.0526</v>
      </c>
      <c r="G1029" s="16">
        <v>2302591.02</v>
      </c>
      <c r="H1029" s="16">
        <v>2770907.09</v>
      </c>
      <c r="I1029" s="7" t="s">
        <v>125</v>
      </c>
    </row>
    <row r="1030" ht="15" customHeight="1">
      <c r="A1030" s="8">
        <v>1028</v>
      </c>
      <c r="B1030" s="19">
        <v>0.6334</v>
      </c>
      <c r="C1030" s="19">
        <v>0.7514</v>
      </c>
      <c r="D1030" s="17">
        <v>37853.55</v>
      </c>
      <c r="E1030" s="19">
        <v>0.9118</v>
      </c>
      <c r="F1030" s="19">
        <v>0.1129</v>
      </c>
      <c r="G1030" s="17">
        <v>1749276.39</v>
      </c>
      <c r="H1030" s="17">
        <v>2138448.89</v>
      </c>
      <c r="I1030" s="8" t="s">
        <v>125</v>
      </c>
    </row>
    <row r="1031" ht="15" customHeight="1">
      <c r="A1031" s="7">
        <v>1029</v>
      </c>
      <c r="B1031" s="18">
        <v>0.7523</v>
      </c>
      <c r="C1031" s="18">
        <v>0.8673</v>
      </c>
      <c r="D1031" s="16">
        <v>22751.02</v>
      </c>
      <c r="E1031" s="18">
        <v>0.9082</v>
      </c>
      <c r="F1031" s="18">
        <v>0.1599</v>
      </c>
      <c r="G1031" s="16">
        <v>3687082.29</v>
      </c>
      <c r="H1031" s="16">
        <v>4438433.57</v>
      </c>
      <c r="I1031" s="7" t="s">
        <v>125</v>
      </c>
    </row>
    <row r="1032" ht="15" customHeight="1">
      <c r="A1032" s="8">
        <v>1030</v>
      </c>
      <c r="B1032" s="19">
        <v>0.6635</v>
      </c>
      <c r="C1032" s="19">
        <v>1.2596</v>
      </c>
      <c r="D1032" s="17">
        <v>29574.19</v>
      </c>
      <c r="E1032" s="19">
        <v>0.8823</v>
      </c>
      <c r="F1032" s="19">
        <v>0.1313</v>
      </c>
      <c r="G1032" s="17">
        <v>4420728.67</v>
      </c>
      <c r="H1032" s="17">
        <v>5296646.01</v>
      </c>
      <c r="I1032" s="8" t="s">
        <v>125</v>
      </c>
    </row>
    <row r="1033" ht="15" customHeight="1">
      <c r="A1033" s="7">
        <v>1031</v>
      </c>
      <c r="B1033" s="18">
        <v>0.3744</v>
      </c>
      <c r="C1033" s="18">
        <v>1.0254</v>
      </c>
      <c r="D1033" s="16">
        <v>28937.87</v>
      </c>
      <c r="E1033" s="18">
        <v>0.9078</v>
      </c>
      <c r="F1033" s="18">
        <v>0.1055</v>
      </c>
      <c r="G1033" s="16">
        <v>1355299.1</v>
      </c>
      <c r="H1033" s="16">
        <v>1669286.86</v>
      </c>
      <c r="I1033" s="7" t="s">
        <v>125</v>
      </c>
    </row>
    <row r="1034" ht="15" customHeight="1">
      <c r="A1034" s="8">
        <v>1032</v>
      </c>
      <c r="B1034" s="19">
        <v>0.7058</v>
      </c>
      <c r="C1034" s="19">
        <v>0.8653</v>
      </c>
      <c r="D1034" s="17">
        <v>26367.01</v>
      </c>
      <c r="E1034" s="19">
        <v>0.9617</v>
      </c>
      <c r="F1034" s="19">
        <v>0.1126</v>
      </c>
      <c r="G1034" s="17">
        <v>3254110.53</v>
      </c>
      <c r="H1034" s="17">
        <v>3910470.48</v>
      </c>
      <c r="I1034" s="8" t="s">
        <v>125</v>
      </c>
    </row>
    <row r="1035" ht="15" customHeight="1">
      <c r="A1035" s="7">
        <v>1033</v>
      </c>
      <c r="B1035" s="18">
        <v>0.4782</v>
      </c>
      <c r="C1035" s="18">
        <v>1.3745</v>
      </c>
      <c r="D1035" s="16">
        <v>23938.41</v>
      </c>
      <c r="E1035" s="18">
        <v>0.8861</v>
      </c>
      <c r="F1035" s="18">
        <v>0.1266</v>
      </c>
      <c r="G1035" s="16">
        <v>3372783.67</v>
      </c>
      <c r="H1035" s="16">
        <v>4054878.7</v>
      </c>
      <c r="I1035" s="7" t="s">
        <v>125</v>
      </c>
    </row>
    <row r="1036" ht="15" customHeight="1">
      <c r="A1036" s="8">
        <v>1034</v>
      </c>
      <c r="B1036" s="19">
        <v>0.6282</v>
      </c>
      <c r="C1036" s="19">
        <v>1.2222</v>
      </c>
      <c r="D1036" s="17">
        <v>29012.37</v>
      </c>
      <c r="E1036" s="19">
        <v>0.9478</v>
      </c>
      <c r="F1036" s="19">
        <v>0.0364</v>
      </c>
      <c r="G1036" s="17">
        <v>3699265.29</v>
      </c>
      <c r="H1036" s="17">
        <v>4404189.52</v>
      </c>
      <c r="I1036" s="8" t="s">
        <v>125</v>
      </c>
    </row>
    <row r="1037" ht="15" customHeight="1">
      <c r="A1037" s="7">
        <v>1035</v>
      </c>
      <c r="B1037" s="18">
        <v>0.5268</v>
      </c>
      <c r="C1037" s="18">
        <v>0.9519</v>
      </c>
      <c r="D1037" s="16">
        <v>33458.62</v>
      </c>
      <c r="E1037" s="18">
        <v>0.8896</v>
      </c>
      <c r="F1037" s="18">
        <v>0.1481</v>
      </c>
      <c r="G1037" s="16">
        <v>2132976.27</v>
      </c>
      <c r="H1037" s="16">
        <v>2599966.52</v>
      </c>
      <c r="I1037" s="7" t="s">
        <v>125</v>
      </c>
    </row>
    <row r="1038" ht="15" customHeight="1">
      <c r="A1038" s="8">
        <v>1036</v>
      </c>
      <c r="B1038" s="19">
        <v>0.6183</v>
      </c>
      <c r="C1038" s="19">
        <v>1.1811</v>
      </c>
      <c r="D1038" s="17">
        <v>26354.62</v>
      </c>
      <c r="E1038" s="19">
        <v>0.9317</v>
      </c>
      <c r="F1038" s="19">
        <v>0.1269</v>
      </c>
      <c r="G1038" s="17">
        <v>4051305.55</v>
      </c>
      <c r="H1038" s="17">
        <v>4857213.34</v>
      </c>
      <c r="I1038" s="8" t="s">
        <v>125</v>
      </c>
    </row>
    <row r="1039" ht="15" customHeight="1">
      <c r="A1039" s="7">
        <v>1037</v>
      </c>
      <c r="B1039" s="18">
        <v>0.6978</v>
      </c>
      <c r="C1039" s="18">
        <v>0.9562</v>
      </c>
      <c r="D1039" s="16">
        <v>25291.93</v>
      </c>
      <c r="E1039" s="18">
        <v>0.9164</v>
      </c>
      <c r="F1039" s="18">
        <v>0.0722</v>
      </c>
      <c r="G1039" s="16">
        <v>3229274.34</v>
      </c>
      <c r="H1039" s="16">
        <v>3865980.25</v>
      </c>
      <c r="I1039" s="7" t="s">
        <v>125</v>
      </c>
    </row>
    <row r="1040" ht="15" customHeight="1">
      <c r="A1040" s="8">
        <v>1038</v>
      </c>
      <c r="B1040" s="19">
        <v>0.6687</v>
      </c>
      <c r="C1040" s="19">
        <v>1.0326</v>
      </c>
      <c r="D1040" s="17">
        <v>30191.49</v>
      </c>
      <c r="E1040" s="19">
        <v>0.8238</v>
      </c>
      <c r="F1040" s="19">
        <v>0.0864</v>
      </c>
      <c r="G1040" s="17">
        <v>2852203.4</v>
      </c>
      <c r="H1040" s="17">
        <v>3428330.96</v>
      </c>
      <c r="I1040" s="8" t="s">
        <v>125</v>
      </c>
    </row>
    <row r="1041" ht="15" customHeight="1">
      <c r="A1041" s="7">
        <v>1039</v>
      </c>
      <c r="B1041" s="18">
        <v>0.6038</v>
      </c>
      <c r="C1041" s="18">
        <v>0.9257</v>
      </c>
      <c r="D1041" s="16">
        <v>27619.55</v>
      </c>
      <c r="E1041" s="18">
        <v>0.8309</v>
      </c>
      <c r="F1041" s="18">
        <v>0.0656</v>
      </c>
      <c r="G1041" s="16">
        <v>2081059.82</v>
      </c>
      <c r="H1041" s="16">
        <v>2513709.22</v>
      </c>
      <c r="I1041" s="7" t="s">
        <v>125</v>
      </c>
    </row>
    <row r="1042" ht="15" customHeight="1">
      <c r="A1042" s="8">
        <v>1040</v>
      </c>
      <c r="B1042" s="19">
        <v>0.6087</v>
      </c>
      <c r="C1042" s="19">
        <v>1.0417</v>
      </c>
      <c r="D1042" s="17">
        <v>27215.02</v>
      </c>
      <c r="E1042" s="19">
        <v>0.8911</v>
      </c>
      <c r="F1042" s="19">
        <v>0.1234</v>
      </c>
      <c r="G1042" s="17">
        <v>3120385.48</v>
      </c>
      <c r="H1042" s="17">
        <v>3756756.36</v>
      </c>
      <c r="I1042" s="8" t="s">
        <v>125</v>
      </c>
    </row>
    <row r="1043" ht="15" customHeight="1">
      <c r="A1043" s="7">
        <v>1041</v>
      </c>
      <c r="B1043" s="18">
        <v>0.6319</v>
      </c>
      <c r="C1043" s="18">
        <v>1.0477</v>
      </c>
      <c r="D1043" s="16">
        <v>29206.13</v>
      </c>
      <c r="E1043" s="18">
        <v>0.851</v>
      </c>
      <c r="F1043" s="18">
        <v>0.0767</v>
      </c>
      <c r="G1043" s="16">
        <v>2790147.15</v>
      </c>
      <c r="H1043" s="16">
        <v>3351661.55</v>
      </c>
      <c r="I1043" s="7" t="s">
        <v>125</v>
      </c>
    </row>
    <row r="1044" ht="15" customHeight="1">
      <c r="A1044" s="8">
        <v>1042</v>
      </c>
      <c r="B1044" s="19">
        <v>0.5841</v>
      </c>
      <c r="C1044" s="19">
        <v>0.7719</v>
      </c>
      <c r="D1044" s="17">
        <v>33931.45</v>
      </c>
      <c r="E1044" s="19">
        <v>0.8184</v>
      </c>
      <c r="F1044" s="19">
        <v>0.099</v>
      </c>
      <c r="G1044" s="17">
        <v>1330894.51</v>
      </c>
      <c r="H1044" s="17">
        <v>1640436.08</v>
      </c>
      <c r="I1044" s="8" t="s">
        <v>125</v>
      </c>
    </row>
    <row r="1045" ht="15" customHeight="1">
      <c r="A1045" s="7">
        <v>1043</v>
      </c>
      <c r="B1045" s="18">
        <v>0.5633</v>
      </c>
      <c r="C1045" s="18">
        <v>0.9748</v>
      </c>
      <c r="D1045" s="16">
        <v>29065.41</v>
      </c>
      <c r="E1045" s="18">
        <v>0.8308</v>
      </c>
      <c r="F1045" s="18">
        <v>0.0686</v>
      </c>
      <c r="G1045" s="16">
        <v>1991660.57</v>
      </c>
      <c r="H1045" s="16">
        <v>2409671.33</v>
      </c>
      <c r="I1045" s="7" t="s">
        <v>125</v>
      </c>
    </row>
    <row r="1046" ht="15" customHeight="1">
      <c r="A1046" s="8">
        <v>1044</v>
      </c>
      <c r="B1046" s="19">
        <v>0.7224</v>
      </c>
      <c r="C1046" s="19">
        <v>1.0428</v>
      </c>
      <c r="D1046" s="17">
        <v>32143.88</v>
      </c>
      <c r="E1046" s="19">
        <v>0.8801</v>
      </c>
      <c r="F1046" s="19">
        <v>0.1484</v>
      </c>
      <c r="G1046" s="17">
        <v>3884062.05</v>
      </c>
      <c r="H1046" s="17">
        <v>4670772.57</v>
      </c>
      <c r="I1046" s="8" t="s">
        <v>125</v>
      </c>
    </row>
    <row r="1047" ht="15" customHeight="1">
      <c r="A1047" s="7">
        <v>1045</v>
      </c>
      <c r="B1047" s="18">
        <v>0.6125</v>
      </c>
      <c r="C1047" s="18">
        <v>1.0797</v>
      </c>
      <c r="D1047" s="16">
        <v>20583.49</v>
      </c>
      <c r="E1047" s="18">
        <v>0.9419</v>
      </c>
      <c r="F1047" s="18">
        <v>0.0585</v>
      </c>
      <c r="G1047" s="16">
        <v>3374827.67</v>
      </c>
      <c r="H1047" s="16">
        <v>4031105.27</v>
      </c>
      <c r="I1047" s="7" t="s">
        <v>125</v>
      </c>
    </row>
    <row r="1048" ht="15" customHeight="1">
      <c r="A1048" s="8">
        <v>1046</v>
      </c>
      <c r="B1048" s="19">
        <v>0.6103</v>
      </c>
      <c r="C1048" s="19">
        <v>1.1306</v>
      </c>
      <c r="D1048" s="17">
        <v>29284.35</v>
      </c>
      <c r="E1048" s="19">
        <v>0.8802</v>
      </c>
      <c r="F1048" s="19">
        <v>0.041</v>
      </c>
      <c r="G1048" s="17">
        <v>2899475.61</v>
      </c>
      <c r="H1048" s="17">
        <v>3467470.76</v>
      </c>
      <c r="I1048" s="8" t="s">
        <v>125</v>
      </c>
    </row>
    <row r="1049" ht="15" customHeight="1">
      <c r="A1049" s="7">
        <v>1047</v>
      </c>
      <c r="B1049" s="18">
        <v>0.8064</v>
      </c>
      <c r="C1049" s="18">
        <v>1.0874</v>
      </c>
      <c r="D1049" s="16">
        <v>25906.03</v>
      </c>
      <c r="E1049" s="18">
        <v>0.9438</v>
      </c>
      <c r="F1049" s="18">
        <v>0.1386</v>
      </c>
      <c r="G1049" s="16">
        <v>5288783.97</v>
      </c>
      <c r="H1049" s="16">
        <v>6324741.46</v>
      </c>
      <c r="I1049" s="7" t="s">
        <v>125</v>
      </c>
    </row>
    <row r="1050" ht="15" customHeight="1">
      <c r="A1050" s="8">
        <v>1048</v>
      </c>
      <c r="B1050" s="19">
        <v>0.5148</v>
      </c>
      <c r="C1050" s="19">
        <v>0.8373</v>
      </c>
      <c r="D1050" s="17">
        <v>26842.34</v>
      </c>
      <c r="E1050" s="19">
        <v>0.7794</v>
      </c>
      <c r="F1050" s="19">
        <v>0.0908</v>
      </c>
      <c r="G1050" s="17">
        <v>1278359.66</v>
      </c>
      <c r="H1050" s="17">
        <v>1574920.02</v>
      </c>
      <c r="I1050" s="8" t="s">
        <v>125</v>
      </c>
    </row>
    <row r="1051" ht="15" customHeight="1">
      <c r="A1051" s="7">
        <v>1049</v>
      </c>
      <c r="B1051" s="18">
        <v>0.564</v>
      </c>
      <c r="C1051" s="18">
        <v>0.6247</v>
      </c>
      <c r="D1051" s="16">
        <v>31645.31</v>
      </c>
      <c r="E1051" s="18">
        <v>0.9241</v>
      </c>
      <c r="F1051" s="18">
        <v>0.0657</v>
      </c>
      <c r="G1051" s="16">
        <v>976524.35</v>
      </c>
      <c r="H1051" s="16">
        <v>1215581.26</v>
      </c>
      <c r="I1051" s="7" t="s">
        <v>125</v>
      </c>
    </row>
    <row r="1052" ht="15" customHeight="1">
      <c r="A1052" s="8">
        <v>1050</v>
      </c>
      <c r="B1052" s="19">
        <v>0.4463</v>
      </c>
      <c r="C1052" s="19">
        <v>1.1384</v>
      </c>
      <c r="D1052" s="17">
        <v>27408.1</v>
      </c>
      <c r="E1052" s="19">
        <v>0.83</v>
      </c>
      <c r="F1052" s="19">
        <v>0.0577</v>
      </c>
      <c r="G1052" s="17">
        <v>1753941.64</v>
      </c>
      <c r="H1052" s="17">
        <v>2126964.77</v>
      </c>
      <c r="I1052" s="8" t="s">
        <v>125</v>
      </c>
    </row>
    <row r="1053" ht="15" customHeight="1">
      <c r="A1053" s="7">
        <v>1051</v>
      </c>
      <c r="B1053" s="18">
        <v>0.6166</v>
      </c>
      <c r="C1053" s="18">
        <v>1.1195</v>
      </c>
      <c r="D1053" s="16">
        <v>23514.72</v>
      </c>
      <c r="E1053" s="18">
        <v>0.9498</v>
      </c>
      <c r="F1053" s="18">
        <v>0.0564</v>
      </c>
      <c r="G1053" s="16">
        <v>3500929.7</v>
      </c>
      <c r="H1053" s="16">
        <v>4178962.29</v>
      </c>
      <c r="I1053" s="7" t="s">
        <v>125</v>
      </c>
    </row>
    <row r="1054" ht="15" customHeight="1">
      <c r="A1054" s="8">
        <v>1052</v>
      </c>
      <c r="B1054" s="19">
        <v>0.6089</v>
      </c>
      <c r="C1054" s="19">
        <v>0.7875</v>
      </c>
      <c r="D1054" s="17">
        <v>22527.86</v>
      </c>
      <c r="E1054" s="19">
        <v>0.9077</v>
      </c>
      <c r="F1054" s="19">
        <v>0.0712</v>
      </c>
      <c r="G1054" s="17">
        <v>2054051.17</v>
      </c>
      <c r="H1054" s="17">
        <v>2482509</v>
      </c>
      <c r="I1054" s="8" t="s">
        <v>125</v>
      </c>
    </row>
    <row r="1055" ht="15" customHeight="1">
      <c r="A1055" s="7">
        <v>1053</v>
      </c>
      <c r="B1055" s="18">
        <v>0.3696</v>
      </c>
      <c r="C1055" s="18">
        <v>0.6763</v>
      </c>
      <c r="D1055" s="16">
        <v>23879.55</v>
      </c>
      <c r="E1055" s="18">
        <v>0.872</v>
      </c>
      <c r="F1055" s="18">
        <v>0.1056</v>
      </c>
      <c r="G1055" s="16">
        <v>539027.63</v>
      </c>
      <c r="H1055" s="16">
        <v>705227.93</v>
      </c>
      <c r="I1055" s="7" t="s">
        <v>125</v>
      </c>
    </row>
    <row r="1056" ht="15" customHeight="1">
      <c r="A1056" s="8">
        <v>1054</v>
      </c>
      <c r="B1056" s="19">
        <v>0.4093</v>
      </c>
      <c r="C1056" s="19">
        <v>1.0966</v>
      </c>
      <c r="D1056" s="17">
        <v>32118.52</v>
      </c>
      <c r="E1056" s="19">
        <v>0.949</v>
      </c>
      <c r="F1056" s="19">
        <v>0.0856</v>
      </c>
      <c r="G1056" s="17">
        <v>1751959.7</v>
      </c>
      <c r="H1056" s="17">
        <v>2132797.31</v>
      </c>
      <c r="I1056" s="8" t="s">
        <v>125</v>
      </c>
    </row>
    <row r="1057" ht="15" customHeight="1">
      <c r="A1057" s="7">
        <v>1055</v>
      </c>
      <c r="B1057" s="18">
        <v>0.665</v>
      </c>
      <c r="C1057" s="18">
        <v>0.9562</v>
      </c>
      <c r="D1057" s="16">
        <v>23633.48</v>
      </c>
      <c r="E1057" s="18">
        <v>0.8403</v>
      </c>
      <c r="F1057" s="18">
        <v>0.1022</v>
      </c>
      <c r="G1057" s="16">
        <v>2885591.48</v>
      </c>
      <c r="H1057" s="16">
        <v>3471400.07</v>
      </c>
      <c r="I1057" s="7" t="s">
        <v>125</v>
      </c>
    </row>
    <row r="1058" ht="15" customHeight="1">
      <c r="A1058" s="8">
        <v>1056</v>
      </c>
      <c r="B1058" s="19">
        <v>0.7817</v>
      </c>
      <c r="C1058" s="19">
        <v>1.1332</v>
      </c>
      <c r="D1058" s="17">
        <v>23303.85</v>
      </c>
      <c r="E1058" s="19">
        <v>0.9234</v>
      </c>
      <c r="F1058" s="19">
        <v>0.0782</v>
      </c>
      <c r="G1058" s="17">
        <v>4809681.32</v>
      </c>
      <c r="H1058" s="17">
        <v>5727943.63</v>
      </c>
      <c r="I1058" s="8" t="s">
        <v>125</v>
      </c>
    </row>
    <row r="1059" ht="15" customHeight="1">
      <c r="A1059" s="7">
        <v>1057</v>
      </c>
      <c r="B1059" s="18">
        <v>0.4411</v>
      </c>
      <c r="C1059" s="18">
        <v>1.2265</v>
      </c>
      <c r="D1059" s="16">
        <v>34355.65</v>
      </c>
      <c r="E1059" s="18">
        <v>0.9045</v>
      </c>
      <c r="F1059" s="18">
        <v>0.0534</v>
      </c>
      <c r="G1059" s="16">
        <v>1993923.17</v>
      </c>
      <c r="H1059" s="16">
        <v>2408841.37</v>
      </c>
      <c r="I1059" s="7" t="s">
        <v>125</v>
      </c>
    </row>
    <row r="1060" ht="15" customHeight="1">
      <c r="A1060" s="8">
        <v>1058</v>
      </c>
      <c r="B1060" s="19">
        <v>0.3921</v>
      </c>
      <c r="C1060" s="19">
        <v>1.031</v>
      </c>
      <c r="D1060" s="17">
        <v>21087.38</v>
      </c>
      <c r="E1060" s="19">
        <v>0.9181</v>
      </c>
      <c r="F1060" s="19">
        <v>0.1598</v>
      </c>
      <c r="G1060" s="17">
        <v>1967787.44</v>
      </c>
      <c r="H1060" s="17">
        <v>2402518.54</v>
      </c>
      <c r="I1060" s="8" t="s">
        <v>125</v>
      </c>
    </row>
    <row r="1061" ht="15" customHeight="1">
      <c r="A1061" s="7">
        <v>1059</v>
      </c>
      <c r="B1061" s="18">
        <v>0.5786</v>
      </c>
      <c r="C1061" s="18">
        <v>0.959</v>
      </c>
      <c r="D1061" s="16">
        <v>31189.58</v>
      </c>
      <c r="E1061" s="18">
        <v>0.8886</v>
      </c>
      <c r="F1061" s="18">
        <v>0.0486</v>
      </c>
      <c r="G1061" s="16">
        <v>2094706.5</v>
      </c>
      <c r="H1061" s="16">
        <v>2525353.59</v>
      </c>
      <c r="I1061" s="7" t="s">
        <v>125</v>
      </c>
    </row>
    <row r="1062" ht="15" customHeight="1">
      <c r="A1062" s="8">
        <v>1060</v>
      </c>
      <c r="B1062" s="19">
        <v>0.7248</v>
      </c>
      <c r="C1062" s="19">
        <v>1.0205</v>
      </c>
      <c r="D1062" s="17">
        <v>27378.87</v>
      </c>
      <c r="E1062" s="19">
        <v>0.8252</v>
      </c>
      <c r="F1062" s="19">
        <v>0.0242</v>
      </c>
      <c r="G1062" s="17">
        <v>2884564.05</v>
      </c>
      <c r="H1062" s="17">
        <v>3443666.85</v>
      </c>
      <c r="I1062" s="8" t="s">
        <v>125</v>
      </c>
    </row>
    <row r="1063" ht="15" customHeight="1">
      <c r="A1063" s="7">
        <v>1061</v>
      </c>
      <c r="B1063" s="18">
        <v>0.7956</v>
      </c>
      <c r="C1063" s="18">
        <v>0.6468</v>
      </c>
      <c r="D1063" s="16">
        <v>25406.6</v>
      </c>
      <c r="E1063" s="18">
        <v>0.929</v>
      </c>
      <c r="F1063" s="18">
        <v>0.077</v>
      </c>
      <c r="G1063" s="16">
        <v>2297030.46</v>
      </c>
      <c r="H1063" s="16">
        <v>2770626.79</v>
      </c>
      <c r="I1063" s="7" t="s">
        <v>125</v>
      </c>
    </row>
    <row r="1064" ht="15" customHeight="1">
      <c r="A1064" s="8">
        <v>1062</v>
      </c>
      <c r="B1064" s="19">
        <v>0.8291</v>
      </c>
      <c r="C1064" s="19">
        <v>1.1689</v>
      </c>
      <c r="D1064" s="17">
        <v>33602.73</v>
      </c>
      <c r="E1064" s="19">
        <v>0.9418</v>
      </c>
      <c r="F1064" s="19">
        <v>0.0902</v>
      </c>
      <c r="G1064" s="17">
        <v>5277746</v>
      </c>
      <c r="H1064" s="17">
        <v>6287839.26</v>
      </c>
      <c r="I1064" s="8" t="s">
        <v>125</v>
      </c>
    </row>
    <row r="1065" ht="15" customHeight="1">
      <c r="A1065" s="7">
        <v>1063</v>
      </c>
      <c r="B1065" s="18">
        <v>0.5956</v>
      </c>
      <c r="C1065" s="18">
        <v>0.8775</v>
      </c>
      <c r="D1065" s="16">
        <v>26546.63</v>
      </c>
      <c r="E1065" s="18">
        <v>0.9495</v>
      </c>
      <c r="F1065" s="18">
        <v>0.1028</v>
      </c>
      <c r="G1065" s="16">
        <v>2516376.64</v>
      </c>
      <c r="H1065" s="16">
        <v>3037056.68</v>
      </c>
      <c r="I1065" s="7" t="s">
        <v>125</v>
      </c>
    </row>
    <row r="1066" ht="15" customHeight="1">
      <c r="A1066" s="8">
        <v>1064</v>
      </c>
      <c r="B1066" s="19">
        <v>0.6889</v>
      </c>
      <c r="C1066" s="19">
        <v>0.9957</v>
      </c>
      <c r="D1066" s="17">
        <v>25879.22</v>
      </c>
      <c r="E1066" s="19">
        <v>0.9466</v>
      </c>
      <c r="F1066" s="19">
        <v>0.1392</v>
      </c>
      <c r="G1066" s="17">
        <v>3907043.31</v>
      </c>
      <c r="H1066" s="17">
        <v>4691723.86</v>
      </c>
      <c r="I1066" s="8" t="s">
        <v>125</v>
      </c>
    </row>
    <row r="1067" ht="15" customHeight="1">
      <c r="A1067" s="7">
        <v>1065</v>
      </c>
      <c r="B1067" s="18">
        <v>0.6357</v>
      </c>
      <c r="C1067" s="18">
        <v>1.1695</v>
      </c>
      <c r="D1067" s="16">
        <v>25173.46</v>
      </c>
      <c r="E1067" s="18">
        <v>0.926</v>
      </c>
      <c r="F1067" s="18">
        <v>0.1083</v>
      </c>
      <c r="G1067" s="16">
        <v>4022398.23</v>
      </c>
      <c r="H1067" s="16">
        <v>4814777.92</v>
      </c>
      <c r="I1067" s="7" t="s">
        <v>125</v>
      </c>
    </row>
    <row r="1068" ht="15" customHeight="1">
      <c r="A1068" s="8">
        <v>1066</v>
      </c>
      <c r="B1068" s="19">
        <v>0.5229</v>
      </c>
      <c r="C1068" s="19">
        <v>0.9509</v>
      </c>
      <c r="D1068" s="17">
        <v>20315.27</v>
      </c>
      <c r="E1068" s="19">
        <v>0.8645</v>
      </c>
      <c r="F1068" s="19">
        <v>0.01</v>
      </c>
      <c r="G1068" s="17">
        <v>1840782.1</v>
      </c>
      <c r="H1068" s="17">
        <v>2215979.96</v>
      </c>
      <c r="I1068" s="8" t="s">
        <v>125</v>
      </c>
    </row>
    <row r="1069" ht="15" customHeight="1">
      <c r="A1069" s="7">
        <v>1067</v>
      </c>
      <c r="B1069" s="18">
        <v>0.3974</v>
      </c>
      <c r="C1069" s="18">
        <v>0.9919</v>
      </c>
      <c r="D1069" s="16">
        <v>25730.14</v>
      </c>
      <c r="E1069" s="18">
        <v>0.9204</v>
      </c>
      <c r="F1069" s="18">
        <v>0.1285</v>
      </c>
      <c r="G1069" s="16">
        <v>1643601.47</v>
      </c>
      <c r="H1069" s="16">
        <v>2013677.88</v>
      </c>
      <c r="I1069" s="7" t="s">
        <v>125</v>
      </c>
    </row>
    <row r="1070" ht="15" customHeight="1">
      <c r="A1070" s="8">
        <v>1068</v>
      </c>
      <c r="B1070" s="19">
        <v>0.617</v>
      </c>
      <c r="C1070" s="19">
        <v>0.8306</v>
      </c>
      <c r="D1070" s="17">
        <v>31879.92</v>
      </c>
      <c r="E1070" s="19">
        <v>0.9153</v>
      </c>
      <c r="F1070" s="19">
        <v>0.03</v>
      </c>
      <c r="G1070" s="17">
        <v>1827017.95</v>
      </c>
      <c r="H1070" s="17">
        <v>2205846.36</v>
      </c>
      <c r="I1070" s="8" t="s">
        <v>125</v>
      </c>
    </row>
    <row r="1071" ht="15" customHeight="1">
      <c r="A1071" s="7">
        <v>1069</v>
      </c>
      <c r="B1071" s="18">
        <v>0.6283</v>
      </c>
      <c r="C1071" s="18">
        <v>1.0313</v>
      </c>
      <c r="D1071" s="16">
        <v>39919.4</v>
      </c>
      <c r="E1071" s="18">
        <v>0.9458</v>
      </c>
      <c r="F1071" s="18">
        <v>0.0998</v>
      </c>
      <c r="G1071" s="16">
        <v>2951578.58</v>
      </c>
      <c r="H1071" s="16">
        <v>3552752.79</v>
      </c>
      <c r="I1071" s="7" t="s">
        <v>125</v>
      </c>
    </row>
    <row r="1072" ht="15" customHeight="1">
      <c r="A1072" s="8">
        <v>1070</v>
      </c>
      <c r="B1072" s="19">
        <v>0.7032</v>
      </c>
      <c r="C1072" s="19">
        <v>1.126</v>
      </c>
      <c r="D1072" s="17">
        <v>36663.67</v>
      </c>
      <c r="E1072" s="19">
        <v>0.9147</v>
      </c>
      <c r="F1072" s="19">
        <v>0.0507</v>
      </c>
      <c r="G1072" s="17">
        <v>3536271.38</v>
      </c>
      <c r="H1072" s="17">
        <v>4220033.53</v>
      </c>
      <c r="I1072" s="8" t="s">
        <v>125</v>
      </c>
    </row>
    <row r="1073" ht="15" customHeight="1">
      <c r="A1073" s="7">
        <v>1071</v>
      </c>
      <c r="B1073" s="18">
        <v>0.6823</v>
      </c>
      <c r="C1073" s="18">
        <v>0.9774</v>
      </c>
      <c r="D1073" s="16">
        <v>31089.71</v>
      </c>
      <c r="E1073" s="18">
        <v>0.9187</v>
      </c>
      <c r="F1073" s="18">
        <v>0.0969</v>
      </c>
      <c r="G1073" s="16">
        <v>3204783.05</v>
      </c>
      <c r="H1073" s="16">
        <v>3847754.11</v>
      </c>
      <c r="I1073" s="7" t="s">
        <v>125</v>
      </c>
    </row>
    <row r="1074" ht="15" customHeight="1">
      <c r="A1074" s="8">
        <v>1072</v>
      </c>
      <c r="B1074" s="19">
        <v>0.6512</v>
      </c>
      <c r="C1074" s="19">
        <v>0.9409</v>
      </c>
      <c r="D1074" s="17">
        <v>25728.57</v>
      </c>
      <c r="E1074" s="19">
        <v>0.8487</v>
      </c>
      <c r="F1074" s="19">
        <v>-0.0043</v>
      </c>
      <c r="G1074" s="17">
        <v>2197926.75</v>
      </c>
      <c r="H1074" s="17">
        <v>2629967.69</v>
      </c>
      <c r="I1074" s="8" t="s">
        <v>125</v>
      </c>
    </row>
    <row r="1075" ht="15" customHeight="1">
      <c r="A1075" s="7">
        <v>1073</v>
      </c>
      <c r="B1075" s="18">
        <v>0.7828</v>
      </c>
      <c r="C1075" s="18">
        <v>0.9263</v>
      </c>
      <c r="D1075" s="16">
        <v>35915.27</v>
      </c>
      <c r="E1075" s="18">
        <v>0.8738</v>
      </c>
      <c r="F1075" s="18">
        <v>0.1185</v>
      </c>
      <c r="G1075" s="16">
        <v>3345767.45</v>
      </c>
      <c r="H1075" s="16">
        <v>4023846.52</v>
      </c>
      <c r="I1075" s="7" t="s">
        <v>125</v>
      </c>
    </row>
    <row r="1076" ht="15" customHeight="1">
      <c r="A1076" s="8">
        <v>1074</v>
      </c>
      <c r="B1076" s="19">
        <v>0.7773</v>
      </c>
      <c r="C1076" s="19">
        <v>1.0381</v>
      </c>
      <c r="D1076" s="17">
        <v>20653.64</v>
      </c>
      <c r="E1076" s="19">
        <v>0.9112</v>
      </c>
      <c r="F1076" s="19">
        <v>0.092</v>
      </c>
      <c r="G1076" s="17">
        <v>4393486.42</v>
      </c>
      <c r="H1076" s="17">
        <v>5243794.65</v>
      </c>
      <c r="I1076" s="8" t="s">
        <v>125</v>
      </c>
    </row>
    <row r="1077" ht="15" customHeight="1">
      <c r="A1077" s="7">
        <v>1075</v>
      </c>
      <c r="B1077" s="18">
        <v>0.5842</v>
      </c>
      <c r="C1077" s="18">
        <v>0.8247</v>
      </c>
      <c r="D1077" s="16">
        <v>27247.81</v>
      </c>
      <c r="E1077" s="18">
        <v>0.8729</v>
      </c>
      <c r="F1077" s="18">
        <v>0.1919</v>
      </c>
      <c r="G1077" s="16">
        <v>2314015.95</v>
      </c>
      <c r="H1077" s="16">
        <v>2823777.39</v>
      </c>
      <c r="I1077" s="7" t="s">
        <v>125</v>
      </c>
    </row>
    <row r="1078" ht="15" customHeight="1">
      <c r="A1078" s="8">
        <v>1076</v>
      </c>
      <c r="B1078" s="19">
        <v>0.3919</v>
      </c>
      <c r="C1078" s="19">
        <v>1.2989</v>
      </c>
      <c r="D1078" s="17">
        <v>33234.78</v>
      </c>
      <c r="E1078" s="19">
        <v>0.8227</v>
      </c>
      <c r="F1078" s="19">
        <v>0.0743</v>
      </c>
      <c r="G1078" s="17">
        <v>1620538.98</v>
      </c>
      <c r="H1078" s="17">
        <v>1975410.62</v>
      </c>
      <c r="I1078" s="8" t="s">
        <v>125</v>
      </c>
    </row>
    <row r="1079" ht="15" customHeight="1">
      <c r="A1079" s="7">
        <v>1077</v>
      </c>
      <c r="B1079" s="18">
        <v>0.6382</v>
      </c>
      <c r="C1079" s="18">
        <v>1.0886</v>
      </c>
      <c r="D1079" s="16">
        <v>24974.98</v>
      </c>
      <c r="E1079" s="18">
        <v>0.8192</v>
      </c>
      <c r="F1079" s="18">
        <v>0.0887</v>
      </c>
      <c r="G1079" s="16">
        <v>3027522.17</v>
      </c>
      <c r="H1079" s="16">
        <v>3634389.79</v>
      </c>
      <c r="I1079" s="7" t="s">
        <v>125</v>
      </c>
    </row>
    <row r="1080" ht="15" customHeight="1">
      <c r="A1080" s="8">
        <v>1078</v>
      </c>
      <c r="B1080" s="19">
        <v>0.6903</v>
      </c>
      <c r="C1080" s="19">
        <v>0.8238</v>
      </c>
      <c r="D1080" s="17">
        <v>21675.2</v>
      </c>
      <c r="E1080" s="19">
        <v>0.9193</v>
      </c>
      <c r="F1080" s="19">
        <v>0.0124</v>
      </c>
      <c r="G1080" s="17">
        <v>2418963.77</v>
      </c>
      <c r="H1080" s="17">
        <v>2893816.24</v>
      </c>
      <c r="I1080" s="8" t="s">
        <v>125</v>
      </c>
    </row>
    <row r="1081" ht="15" customHeight="1">
      <c r="A1081" s="7">
        <v>1079</v>
      </c>
      <c r="B1081" s="18">
        <v>0.6576</v>
      </c>
      <c r="C1081" s="18">
        <v>1.1706</v>
      </c>
      <c r="D1081" s="16">
        <v>35370.78</v>
      </c>
      <c r="E1081" s="18">
        <v>0.8395</v>
      </c>
      <c r="F1081" s="18">
        <v>0.1297</v>
      </c>
      <c r="G1081" s="16">
        <v>3529790.76</v>
      </c>
      <c r="H1081" s="16">
        <v>4245441.6</v>
      </c>
      <c r="I1081" s="7" t="s">
        <v>125</v>
      </c>
    </row>
    <row r="1082" ht="15" customHeight="1">
      <c r="A1082" s="8">
        <v>1080</v>
      </c>
      <c r="B1082" s="19">
        <v>0.6045</v>
      </c>
      <c r="C1082" s="19">
        <v>1.2262</v>
      </c>
      <c r="D1082" s="17">
        <v>32424.02</v>
      </c>
      <c r="E1082" s="19">
        <v>0.8813</v>
      </c>
      <c r="F1082" s="19">
        <v>0.0772</v>
      </c>
      <c r="G1082" s="17">
        <v>3338701.71</v>
      </c>
      <c r="H1082" s="17">
        <v>3998117.45</v>
      </c>
      <c r="I1082" s="8" t="s">
        <v>125</v>
      </c>
    </row>
    <row r="1083" ht="15" customHeight="1">
      <c r="A1083" s="7">
        <v>1081</v>
      </c>
      <c r="B1083" s="18">
        <v>0.5352</v>
      </c>
      <c r="C1083" s="18">
        <v>0.937</v>
      </c>
      <c r="D1083" s="16">
        <v>30461.01</v>
      </c>
      <c r="E1083" s="18">
        <v>0.8899</v>
      </c>
      <c r="F1083" s="18">
        <v>0.0961</v>
      </c>
      <c r="G1083" s="16">
        <v>1995778.61</v>
      </c>
      <c r="H1083" s="16">
        <v>2422456.76</v>
      </c>
      <c r="I1083" s="7" t="s">
        <v>125</v>
      </c>
    </row>
    <row r="1084" ht="15" customHeight="1">
      <c r="A1084" s="8">
        <v>1082</v>
      </c>
      <c r="B1084" s="19">
        <v>0.5481</v>
      </c>
      <c r="C1084" s="19">
        <v>0.9263</v>
      </c>
      <c r="D1084" s="17">
        <v>18572.87</v>
      </c>
      <c r="E1084" s="19">
        <v>0.9244</v>
      </c>
      <c r="F1084" s="19">
        <v>0.088</v>
      </c>
      <c r="G1084" s="17">
        <v>2493887.51</v>
      </c>
      <c r="H1084" s="17">
        <v>3004060.15</v>
      </c>
      <c r="I1084" s="8" t="s">
        <v>125</v>
      </c>
    </row>
    <row r="1085" ht="15" customHeight="1">
      <c r="A1085" s="7">
        <v>1083</v>
      </c>
      <c r="B1085" s="18">
        <v>0.7942</v>
      </c>
      <c r="C1085" s="18">
        <v>0.9809</v>
      </c>
      <c r="D1085" s="16">
        <v>23618.88</v>
      </c>
      <c r="E1085" s="18">
        <v>0.8589</v>
      </c>
      <c r="F1085" s="18">
        <v>0.053</v>
      </c>
      <c r="G1085" s="16">
        <v>3570238.82</v>
      </c>
      <c r="H1085" s="16">
        <v>4259036.87</v>
      </c>
      <c r="I1085" s="7" t="s">
        <v>125</v>
      </c>
    </row>
    <row r="1086" ht="15" customHeight="1">
      <c r="A1086" s="8">
        <v>1084</v>
      </c>
      <c r="B1086" s="19">
        <v>0.7371</v>
      </c>
      <c r="C1086" s="19">
        <v>1.1258</v>
      </c>
      <c r="D1086" s="17">
        <v>31904.17</v>
      </c>
      <c r="E1086" s="19">
        <v>0.931</v>
      </c>
      <c r="F1086" s="19">
        <v>0.133</v>
      </c>
      <c r="G1086" s="17">
        <v>4633066.81</v>
      </c>
      <c r="H1086" s="17">
        <v>5549152.65</v>
      </c>
      <c r="I1086" s="8" t="s">
        <v>125</v>
      </c>
    </row>
    <row r="1087" ht="15" customHeight="1">
      <c r="A1087" s="7">
        <v>1085</v>
      </c>
      <c r="B1087" s="18">
        <v>0.4733</v>
      </c>
      <c r="C1087" s="18">
        <v>0.9931</v>
      </c>
      <c r="D1087" s="16">
        <v>31657.27</v>
      </c>
      <c r="E1087" s="18">
        <v>0.7809</v>
      </c>
      <c r="F1087" s="18">
        <v>0.0947</v>
      </c>
      <c r="G1087" s="16">
        <v>1371277.24</v>
      </c>
      <c r="H1087" s="16">
        <v>1686454.96</v>
      </c>
      <c r="I1087" s="7" t="s">
        <v>125</v>
      </c>
    </row>
    <row r="1088" ht="15" customHeight="1">
      <c r="A1088" s="8">
        <v>1086</v>
      </c>
      <c r="B1088" s="19">
        <v>0.5763</v>
      </c>
      <c r="C1088" s="19">
        <v>1.38</v>
      </c>
      <c r="D1088" s="17">
        <v>32977.68</v>
      </c>
      <c r="E1088" s="19">
        <v>0.9496</v>
      </c>
      <c r="F1088" s="19">
        <v>0.0347</v>
      </c>
      <c r="G1088" s="17">
        <v>3751863.77</v>
      </c>
      <c r="H1088" s="17">
        <v>4465548.63</v>
      </c>
      <c r="I1088" s="8" t="s">
        <v>125</v>
      </c>
    </row>
    <row r="1089" ht="15" customHeight="1">
      <c r="A1089" s="7">
        <v>1087</v>
      </c>
      <c r="B1089" s="18">
        <v>0.717</v>
      </c>
      <c r="C1089" s="18">
        <v>0.7852</v>
      </c>
      <c r="D1089" s="16">
        <v>34056.47</v>
      </c>
      <c r="E1089" s="18">
        <v>0.8126</v>
      </c>
      <c r="F1089" s="18">
        <v>0.1184</v>
      </c>
      <c r="G1089" s="16">
        <v>2067536.77</v>
      </c>
      <c r="H1089" s="16">
        <v>2514396.98</v>
      </c>
      <c r="I1089" s="7" t="s">
        <v>125</v>
      </c>
    </row>
    <row r="1090" ht="15" customHeight="1">
      <c r="A1090" s="8">
        <v>1088</v>
      </c>
      <c r="B1090" s="19">
        <v>0.6362</v>
      </c>
      <c r="C1090" s="19">
        <v>0.9435</v>
      </c>
      <c r="D1090" s="17">
        <v>27690.88</v>
      </c>
      <c r="E1090" s="19">
        <v>0.8538</v>
      </c>
      <c r="F1090" s="19">
        <v>0.0695</v>
      </c>
      <c r="G1090" s="17">
        <v>2437139.99</v>
      </c>
      <c r="H1090" s="17">
        <v>2933655.22</v>
      </c>
      <c r="I1090" s="8" t="s">
        <v>125</v>
      </c>
    </row>
    <row r="1091" ht="15" customHeight="1">
      <c r="A1091" s="7">
        <v>1089</v>
      </c>
      <c r="B1091" s="18">
        <v>0.6778</v>
      </c>
      <c r="C1091" s="18">
        <v>0.9165</v>
      </c>
      <c r="D1091" s="16">
        <v>32896.69</v>
      </c>
      <c r="E1091" s="18">
        <v>0.9377</v>
      </c>
      <c r="F1091" s="18">
        <v>0.0304</v>
      </c>
      <c r="G1091" s="16">
        <v>2561827.91</v>
      </c>
      <c r="H1091" s="16">
        <v>3067867.52</v>
      </c>
      <c r="I1091" s="7" t="s">
        <v>125</v>
      </c>
    </row>
    <row r="1092" ht="15" customHeight="1">
      <c r="A1092" s="8">
        <v>1090</v>
      </c>
      <c r="B1092" s="19">
        <v>0.509</v>
      </c>
      <c r="C1092" s="19">
        <v>0.9431</v>
      </c>
      <c r="D1092" s="17">
        <v>26561.23</v>
      </c>
      <c r="E1092" s="19">
        <v>0.8235</v>
      </c>
      <c r="F1092" s="19">
        <v>0.0586</v>
      </c>
      <c r="G1092" s="17">
        <v>1598695.39</v>
      </c>
      <c r="H1092" s="17">
        <v>1944599.97</v>
      </c>
      <c r="I1092" s="8" t="s">
        <v>125</v>
      </c>
    </row>
    <row r="1093" ht="15" customHeight="1">
      <c r="A1093" s="7">
        <v>1091</v>
      </c>
      <c r="B1093" s="18">
        <v>0.6789</v>
      </c>
      <c r="C1093" s="18">
        <v>1.1783</v>
      </c>
      <c r="D1093" s="16">
        <v>29434.69</v>
      </c>
      <c r="E1093" s="18">
        <v>0.8204</v>
      </c>
      <c r="F1093" s="18">
        <v>0.0882</v>
      </c>
      <c r="G1093" s="16">
        <v>3522493.37</v>
      </c>
      <c r="H1093" s="16">
        <v>4218297.89</v>
      </c>
      <c r="I1093" s="7" t="s">
        <v>125</v>
      </c>
    </row>
    <row r="1094" ht="15" customHeight="1">
      <c r="A1094" s="8">
        <v>1092</v>
      </c>
      <c r="B1094" s="19">
        <v>0.5356</v>
      </c>
      <c r="C1094" s="19">
        <v>1.2692</v>
      </c>
      <c r="D1094" s="17">
        <v>35390.84</v>
      </c>
      <c r="E1094" s="19">
        <v>0.9293</v>
      </c>
      <c r="F1094" s="19">
        <v>0.081</v>
      </c>
      <c r="G1094" s="17">
        <v>3116156.34</v>
      </c>
      <c r="H1094" s="17">
        <v>3738312.32</v>
      </c>
      <c r="I1094" s="8" t="s">
        <v>125</v>
      </c>
    </row>
    <row r="1095" ht="15" customHeight="1">
      <c r="A1095" s="7">
        <v>1093</v>
      </c>
      <c r="B1095" s="18">
        <v>0.6891</v>
      </c>
      <c r="C1095" s="18">
        <v>0.8956</v>
      </c>
      <c r="D1095" s="16">
        <v>24541.1</v>
      </c>
      <c r="E1095" s="18">
        <v>0.883</v>
      </c>
      <c r="F1095" s="18">
        <v>0.1428</v>
      </c>
      <c r="G1095" s="16">
        <v>3156432.7</v>
      </c>
      <c r="H1095" s="16">
        <v>3805197.2</v>
      </c>
      <c r="I1095" s="7" t="s">
        <v>125</v>
      </c>
    </row>
    <row r="1096" ht="15" customHeight="1">
      <c r="A1096" s="8">
        <v>1094</v>
      </c>
      <c r="B1096" s="19">
        <v>0.7139</v>
      </c>
      <c r="C1096" s="19">
        <v>0.8815</v>
      </c>
      <c r="D1096" s="17">
        <v>24176.91</v>
      </c>
      <c r="E1096" s="19">
        <v>0.9285</v>
      </c>
      <c r="F1096" s="19">
        <v>0.064</v>
      </c>
      <c r="G1096" s="17">
        <v>3024796.02</v>
      </c>
      <c r="H1096" s="17">
        <v>3622264.77</v>
      </c>
      <c r="I1096" s="8" t="s">
        <v>125</v>
      </c>
    </row>
    <row r="1097" ht="15" customHeight="1">
      <c r="A1097" s="7">
        <v>1095</v>
      </c>
      <c r="B1097" s="18">
        <v>0.5344</v>
      </c>
      <c r="C1097" s="18">
        <v>0.967</v>
      </c>
      <c r="D1097" s="16">
        <v>25426.24</v>
      </c>
      <c r="E1097" s="18">
        <v>0.9204</v>
      </c>
      <c r="F1097" s="18">
        <v>0.0443</v>
      </c>
      <c r="G1097" s="16">
        <v>2132531.08</v>
      </c>
      <c r="H1097" s="16">
        <v>2567764.58</v>
      </c>
      <c r="I1097" s="7" t="s">
        <v>125</v>
      </c>
    </row>
    <row r="1098" ht="15" customHeight="1">
      <c r="A1098" s="8">
        <v>1096</v>
      </c>
      <c r="B1098" s="19">
        <v>0.4929</v>
      </c>
      <c r="C1098" s="19">
        <v>0.8604</v>
      </c>
      <c r="D1098" s="17">
        <v>27321.88</v>
      </c>
      <c r="E1098" s="19">
        <v>0.8751</v>
      </c>
      <c r="F1098" s="19">
        <v>0.0874</v>
      </c>
      <c r="G1098" s="17">
        <v>1508125.59</v>
      </c>
      <c r="H1098" s="17">
        <v>1844955.49</v>
      </c>
      <c r="I1098" s="8" t="s">
        <v>125</v>
      </c>
    </row>
    <row r="1099" ht="15" customHeight="1">
      <c r="A1099" s="7">
        <v>1097</v>
      </c>
      <c r="B1099" s="18">
        <v>0.5035</v>
      </c>
      <c r="C1099" s="18">
        <v>0.7396</v>
      </c>
      <c r="D1099" s="16">
        <v>25180.1</v>
      </c>
      <c r="E1099" s="18">
        <v>0.922</v>
      </c>
      <c r="F1099" s="18">
        <v>0.0356</v>
      </c>
      <c r="G1099" s="16">
        <v>1204612.22</v>
      </c>
      <c r="H1099" s="16">
        <v>1476513.42</v>
      </c>
      <c r="I1099" s="7" t="s">
        <v>125</v>
      </c>
    </row>
    <row r="1100" ht="15" customHeight="1">
      <c r="A1100" s="8">
        <v>1098</v>
      </c>
      <c r="B1100" s="19">
        <v>0.7467</v>
      </c>
      <c r="C1100" s="19">
        <v>1.2619</v>
      </c>
      <c r="D1100" s="17">
        <v>17896.11</v>
      </c>
      <c r="E1100" s="19">
        <v>0.7939</v>
      </c>
      <c r="F1100" s="19">
        <v>0.1847</v>
      </c>
      <c r="G1100" s="17">
        <v>5271610.02</v>
      </c>
      <c r="H1100" s="17">
        <v>6324119.39</v>
      </c>
      <c r="I1100" s="8" t="s">
        <v>125</v>
      </c>
    </row>
    <row r="1101" ht="15" customHeight="1">
      <c r="A1101" s="7">
        <v>1099</v>
      </c>
      <c r="B1101" s="18">
        <v>0.6173</v>
      </c>
      <c r="C1101" s="18">
        <v>1.07</v>
      </c>
      <c r="D1101" s="16">
        <v>30514.81</v>
      </c>
      <c r="E1101" s="18">
        <v>0.8513</v>
      </c>
      <c r="F1101" s="18">
        <v>0.065</v>
      </c>
      <c r="G1101" s="16">
        <v>2680169.17</v>
      </c>
      <c r="H1101" s="16">
        <v>3218524.37</v>
      </c>
      <c r="I1101" s="7" t="s">
        <v>125</v>
      </c>
    </row>
    <row r="1102" ht="15" customHeight="1">
      <c r="A1102" s="8">
        <v>1100</v>
      </c>
      <c r="B1102" s="19">
        <v>0.4928</v>
      </c>
      <c r="C1102" s="19">
        <v>0.9441</v>
      </c>
      <c r="D1102" s="17">
        <v>34947.93</v>
      </c>
      <c r="E1102" s="19">
        <v>0.8374</v>
      </c>
      <c r="F1102" s="19">
        <v>0.11</v>
      </c>
      <c r="G1102" s="17">
        <v>1493270.98</v>
      </c>
      <c r="H1102" s="17">
        <v>1834795.18</v>
      </c>
      <c r="I1102" s="8" t="s">
        <v>125</v>
      </c>
    </row>
    <row r="1103" ht="15" customHeight="1">
      <c r="A1103" s="7">
        <v>1101</v>
      </c>
      <c r="B1103" s="18">
        <v>0.4787</v>
      </c>
      <c r="C1103" s="18">
        <v>0.934</v>
      </c>
      <c r="D1103" s="16">
        <v>32324.08</v>
      </c>
      <c r="E1103" s="18">
        <v>0.8517</v>
      </c>
      <c r="F1103" s="18">
        <v>0.0718</v>
      </c>
      <c r="G1103" s="16">
        <v>1368068.45</v>
      </c>
      <c r="H1103" s="16">
        <v>1677573.7</v>
      </c>
      <c r="I1103" s="7" t="s">
        <v>125</v>
      </c>
    </row>
    <row r="1104" ht="15" customHeight="1">
      <c r="A1104" s="8">
        <v>1102</v>
      </c>
      <c r="B1104" s="19">
        <v>0.3407</v>
      </c>
      <c r="C1104" s="19">
        <v>1.0879</v>
      </c>
      <c r="D1104" s="17">
        <v>28064</v>
      </c>
      <c r="E1104" s="19">
        <v>0.8149</v>
      </c>
      <c r="F1104" s="19">
        <v>0.1544</v>
      </c>
      <c r="G1104" s="17">
        <v>1184410.35</v>
      </c>
      <c r="H1104" s="17">
        <v>1477087.58</v>
      </c>
      <c r="I1104" s="8" t="s">
        <v>125</v>
      </c>
    </row>
    <row r="1105" ht="15" customHeight="1">
      <c r="A1105" s="7">
        <v>1103</v>
      </c>
      <c r="B1105" s="18">
        <v>0.481</v>
      </c>
      <c r="C1105" s="18">
        <v>0.8163</v>
      </c>
      <c r="D1105" s="16">
        <v>32061.57</v>
      </c>
      <c r="E1105" s="18">
        <v>0.9085</v>
      </c>
      <c r="F1105" s="18">
        <v>0.0995</v>
      </c>
      <c r="G1105" s="16">
        <v>1299506.17</v>
      </c>
      <c r="H1105" s="16">
        <v>1603046.03</v>
      </c>
      <c r="I1105" s="7" t="s">
        <v>125</v>
      </c>
    </row>
    <row r="1106" ht="15" customHeight="1">
      <c r="A1106" s="8">
        <v>1104</v>
      </c>
      <c r="B1106" s="19">
        <v>0.508</v>
      </c>
      <c r="C1106" s="19">
        <v>1.2255</v>
      </c>
      <c r="D1106" s="17">
        <v>30852.86</v>
      </c>
      <c r="E1106" s="19">
        <v>0.9079</v>
      </c>
      <c r="F1106" s="19">
        <v>0.0609</v>
      </c>
      <c r="G1106" s="17">
        <v>2667920.54</v>
      </c>
      <c r="H1106" s="17">
        <v>3202772.01</v>
      </c>
      <c r="I1106" s="8" t="s">
        <v>125</v>
      </c>
    </row>
    <row r="1107" ht="15" customHeight="1">
      <c r="A1107" s="7">
        <v>1105</v>
      </c>
      <c r="B1107" s="18">
        <v>0.6367</v>
      </c>
      <c r="C1107" s="18">
        <v>0.9164</v>
      </c>
      <c r="D1107" s="16">
        <v>24712.8</v>
      </c>
      <c r="E1107" s="18">
        <v>0.9359</v>
      </c>
      <c r="F1107" s="18">
        <v>0.0796</v>
      </c>
      <c r="G1107" s="16">
        <v>2819473.43</v>
      </c>
      <c r="H1107" s="16">
        <v>3386205.75</v>
      </c>
      <c r="I1107" s="7" t="s">
        <v>125</v>
      </c>
    </row>
    <row r="1108" ht="15" customHeight="1">
      <c r="A1108" s="8">
        <v>1106</v>
      </c>
      <c r="B1108" s="19">
        <v>0.6443</v>
      </c>
      <c r="C1108" s="19">
        <v>0.6617</v>
      </c>
      <c r="D1108" s="17">
        <v>32643.88</v>
      </c>
      <c r="E1108" s="19">
        <v>0.8302</v>
      </c>
      <c r="F1108" s="19">
        <v>0.1092</v>
      </c>
      <c r="G1108" s="17">
        <v>1295000.98</v>
      </c>
      <c r="H1108" s="17">
        <v>1600058.12</v>
      </c>
      <c r="I1108" s="8" t="s">
        <v>125</v>
      </c>
    </row>
    <row r="1109" ht="15" customHeight="1">
      <c r="A1109" s="7">
        <v>1107</v>
      </c>
      <c r="B1109" s="18">
        <v>0.7279</v>
      </c>
      <c r="C1109" s="18">
        <v>0.7411</v>
      </c>
      <c r="D1109" s="16">
        <v>20262.3</v>
      </c>
      <c r="E1109" s="18">
        <v>0.8931</v>
      </c>
      <c r="F1109" s="18">
        <v>0.105</v>
      </c>
      <c r="G1109" s="16">
        <v>2612697.52</v>
      </c>
      <c r="H1109" s="16">
        <v>3149551.93</v>
      </c>
      <c r="I1109" s="7" t="s">
        <v>125</v>
      </c>
    </row>
    <row r="1110" ht="15" customHeight="1">
      <c r="A1110" s="8">
        <v>1108</v>
      </c>
      <c r="B1110" s="19">
        <v>0.5975</v>
      </c>
      <c r="C1110" s="19">
        <v>0.8842</v>
      </c>
      <c r="D1110" s="17">
        <v>33415.42</v>
      </c>
      <c r="E1110" s="19">
        <v>0.9167</v>
      </c>
      <c r="F1110" s="19">
        <v>0.115</v>
      </c>
      <c r="G1110" s="17">
        <v>2274827</v>
      </c>
      <c r="H1110" s="17">
        <v>2757867.88</v>
      </c>
      <c r="I1110" s="8" t="s">
        <v>125</v>
      </c>
    </row>
    <row r="1111" ht="15" customHeight="1">
      <c r="A1111" s="7">
        <v>1109</v>
      </c>
      <c r="B1111" s="18">
        <v>0.4207</v>
      </c>
      <c r="C1111" s="18">
        <v>0.9166</v>
      </c>
      <c r="D1111" s="16">
        <v>30893.07</v>
      </c>
      <c r="E1111" s="18">
        <v>0.8428</v>
      </c>
      <c r="F1111" s="18">
        <v>0.0904</v>
      </c>
      <c r="G1111" s="16">
        <v>1072625.96</v>
      </c>
      <c r="H1111" s="16">
        <v>1333483.17</v>
      </c>
      <c r="I1111" s="7" t="s">
        <v>125</v>
      </c>
    </row>
    <row r="1112" ht="15" customHeight="1">
      <c r="A1112" s="8">
        <v>1110</v>
      </c>
      <c r="B1112" s="19">
        <v>0.5807</v>
      </c>
      <c r="C1112" s="19">
        <v>0.9014</v>
      </c>
      <c r="D1112" s="17">
        <v>28506.95</v>
      </c>
      <c r="E1112" s="19">
        <v>0.8619</v>
      </c>
      <c r="F1112" s="19">
        <v>0.1867</v>
      </c>
      <c r="G1112" s="17">
        <v>2505228.38</v>
      </c>
      <c r="H1112" s="17">
        <v>3049710.61</v>
      </c>
      <c r="I1112" s="8" t="s">
        <v>125</v>
      </c>
    </row>
    <row r="1113" ht="15" customHeight="1">
      <c r="A1113" s="7">
        <v>1111</v>
      </c>
      <c r="B1113" s="18">
        <v>0.5967</v>
      </c>
      <c r="C1113" s="18">
        <v>0.6099</v>
      </c>
      <c r="D1113" s="16">
        <v>22660.43</v>
      </c>
      <c r="E1113" s="18">
        <v>0.9297</v>
      </c>
      <c r="F1113" s="18">
        <v>0.1403</v>
      </c>
      <c r="G1113" s="16">
        <v>1589927.61</v>
      </c>
      <c r="H1113" s="16">
        <v>1951752.96</v>
      </c>
      <c r="I1113" s="7" t="s">
        <v>125</v>
      </c>
    </row>
    <row r="1114" ht="15" customHeight="1">
      <c r="A1114" s="8">
        <v>1112</v>
      </c>
      <c r="B1114" s="19">
        <v>0.3889</v>
      </c>
      <c r="C1114" s="19">
        <v>1.0008</v>
      </c>
      <c r="D1114" s="17">
        <v>28371.93</v>
      </c>
      <c r="E1114" s="19">
        <v>0.899</v>
      </c>
      <c r="F1114" s="19">
        <v>0.0799</v>
      </c>
      <c r="G1114" s="17">
        <v>1296592.84</v>
      </c>
      <c r="H1114" s="17">
        <v>1594451.66</v>
      </c>
      <c r="I1114" s="8" t="s">
        <v>125</v>
      </c>
    </row>
    <row r="1115" ht="15" customHeight="1">
      <c r="A1115" s="7">
        <v>1113</v>
      </c>
      <c r="B1115" s="18">
        <v>0.3745</v>
      </c>
      <c r="C1115" s="18">
        <v>1.2342</v>
      </c>
      <c r="D1115" s="16">
        <v>28511.7</v>
      </c>
      <c r="E1115" s="18">
        <v>0.9396</v>
      </c>
      <c r="F1115" s="18">
        <v>0.0245</v>
      </c>
      <c r="G1115" s="16">
        <v>1674748.64</v>
      </c>
      <c r="H1115" s="16">
        <v>2025579.47</v>
      </c>
      <c r="I1115" s="7" t="s">
        <v>125</v>
      </c>
    </row>
    <row r="1116" ht="15" customHeight="1">
      <c r="A1116" s="8">
        <v>1114</v>
      </c>
      <c r="B1116" s="19">
        <v>0.4406</v>
      </c>
      <c r="C1116" s="19">
        <v>0.993</v>
      </c>
      <c r="D1116" s="17">
        <v>26163.56</v>
      </c>
      <c r="E1116" s="19">
        <v>0.8522</v>
      </c>
      <c r="F1116" s="19">
        <v>0.158</v>
      </c>
      <c r="G1116" s="17">
        <v>1818231.06</v>
      </c>
      <c r="H1116" s="17">
        <v>2227186.69</v>
      </c>
      <c r="I1116" s="8" t="s">
        <v>125</v>
      </c>
    </row>
    <row r="1117" ht="15" customHeight="1">
      <c r="A1117" s="7">
        <v>1115</v>
      </c>
      <c r="B1117" s="18">
        <v>0.5437</v>
      </c>
      <c r="C1117" s="18">
        <v>0.9305</v>
      </c>
      <c r="D1117" s="16">
        <v>23751.59</v>
      </c>
      <c r="E1117" s="18">
        <v>0.9149</v>
      </c>
      <c r="F1117" s="18">
        <v>0.0836</v>
      </c>
      <c r="G1117" s="16">
        <v>2268596.4</v>
      </c>
      <c r="H1117" s="16">
        <v>2738713.99</v>
      </c>
      <c r="I1117" s="7" t="s">
        <v>125</v>
      </c>
    </row>
    <row r="1118" ht="15" customHeight="1">
      <c r="A1118" s="8">
        <v>1116</v>
      </c>
      <c r="B1118" s="19">
        <v>0.7222</v>
      </c>
      <c r="C1118" s="19">
        <v>1.0876</v>
      </c>
      <c r="D1118" s="17">
        <v>21734.3</v>
      </c>
      <c r="E1118" s="19">
        <v>0.9228</v>
      </c>
      <c r="F1118" s="19">
        <v>0.0678</v>
      </c>
      <c r="G1118" s="17">
        <v>4115820.12</v>
      </c>
      <c r="H1118" s="17">
        <v>4906337.71</v>
      </c>
      <c r="I1118" s="8" t="s">
        <v>125</v>
      </c>
    </row>
    <row r="1119" ht="15" customHeight="1">
      <c r="A1119" s="7">
        <v>1117</v>
      </c>
      <c r="B1119" s="18">
        <v>0.7064</v>
      </c>
      <c r="C1119" s="18">
        <v>0.9031</v>
      </c>
      <c r="D1119" s="16">
        <v>26857.2</v>
      </c>
      <c r="E1119" s="18">
        <v>0.8493</v>
      </c>
      <c r="F1119" s="18">
        <v>0.1211</v>
      </c>
      <c r="G1119" s="16">
        <v>2943160.55</v>
      </c>
      <c r="H1119" s="16">
        <v>3546619.87</v>
      </c>
      <c r="I1119" s="7" t="s">
        <v>125</v>
      </c>
    </row>
    <row r="1120" ht="15" customHeight="1">
      <c r="A1120" s="8">
        <v>1118</v>
      </c>
      <c r="B1120" s="19">
        <v>0.4696</v>
      </c>
      <c r="C1120" s="19">
        <v>1.1332</v>
      </c>
      <c r="D1120" s="17">
        <v>23636.17</v>
      </c>
      <c r="E1120" s="19">
        <v>0.8831</v>
      </c>
      <c r="F1120" s="19">
        <v>0.126</v>
      </c>
      <c r="G1120" s="17">
        <v>2518435.66</v>
      </c>
      <c r="H1120" s="17">
        <v>3045576.68</v>
      </c>
      <c r="I1120" s="8" t="s">
        <v>125</v>
      </c>
    </row>
    <row r="1121" ht="15" customHeight="1">
      <c r="A1121" s="7">
        <v>1119</v>
      </c>
      <c r="B1121" s="18">
        <v>0.4893</v>
      </c>
      <c r="C1121" s="18">
        <v>0.7637</v>
      </c>
      <c r="D1121" s="16">
        <v>26768.5</v>
      </c>
      <c r="E1121" s="18">
        <v>0.8482</v>
      </c>
      <c r="F1121" s="18">
        <v>0.1122</v>
      </c>
      <c r="G1121" s="16">
        <v>1208019.92</v>
      </c>
      <c r="H1121" s="16">
        <v>1496318.34</v>
      </c>
      <c r="I1121" s="7" t="s">
        <v>125</v>
      </c>
    </row>
    <row r="1122" ht="15" customHeight="1">
      <c r="A1122" s="8">
        <v>1120</v>
      </c>
      <c r="B1122" s="19">
        <v>0.7142</v>
      </c>
      <c r="C1122" s="19">
        <v>0.8618</v>
      </c>
      <c r="D1122" s="17">
        <v>30291.62</v>
      </c>
      <c r="E1122" s="19">
        <v>0.9633</v>
      </c>
      <c r="F1122" s="19">
        <v>0.1498</v>
      </c>
      <c r="G1122" s="17">
        <v>3396748.94</v>
      </c>
      <c r="H1122" s="17">
        <v>4094141.55</v>
      </c>
      <c r="I1122" s="8" t="s">
        <v>125</v>
      </c>
    </row>
    <row r="1123" ht="15" customHeight="1">
      <c r="A1123" s="7">
        <v>1121</v>
      </c>
      <c r="B1123" s="18">
        <v>0.6361</v>
      </c>
      <c r="C1123" s="18">
        <v>0.779</v>
      </c>
      <c r="D1123" s="16">
        <v>23976.85</v>
      </c>
      <c r="E1123" s="18">
        <v>0.945</v>
      </c>
      <c r="F1123" s="18">
        <v>0.1595</v>
      </c>
      <c r="G1123" s="16">
        <v>2654047.06</v>
      </c>
      <c r="H1123" s="16">
        <v>3215992.28</v>
      </c>
      <c r="I1123" s="7" t="s">
        <v>125</v>
      </c>
    </row>
    <row r="1124" ht="15" customHeight="1">
      <c r="A1124" s="8">
        <v>1122</v>
      </c>
      <c r="B1124" s="19">
        <v>0.439</v>
      </c>
      <c r="C1124" s="19">
        <v>1.036</v>
      </c>
      <c r="D1124" s="17">
        <v>34796.07</v>
      </c>
      <c r="E1124" s="19">
        <v>0.9492</v>
      </c>
      <c r="F1124" s="19">
        <v>0.1525</v>
      </c>
      <c r="G1124" s="17">
        <v>1998197.85</v>
      </c>
      <c r="H1124" s="17">
        <v>2442277.81</v>
      </c>
      <c r="I1124" s="8" t="s">
        <v>125</v>
      </c>
    </row>
    <row r="1125" ht="15" customHeight="1">
      <c r="A1125" s="7">
        <v>1123</v>
      </c>
      <c r="B1125" s="18">
        <v>0.5676</v>
      </c>
      <c r="C1125" s="18">
        <v>1.2582</v>
      </c>
      <c r="D1125" s="16">
        <v>27189.31</v>
      </c>
      <c r="E1125" s="18">
        <v>0.9056</v>
      </c>
      <c r="F1125" s="18">
        <v>0.0415</v>
      </c>
      <c r="G1125" s="16">
        <v>3235957.1</v>
      </c>
      <c r="H1125" s="16">
        <v>3862377.77</v>
      </c>
      <c r="I1125" s="7" t="s">
        <v>125</v>
      </c>
    </row>
    <row r="1126" ht="15" customHeight="1">
      <c r="A1126" s="8">
        <v>1124</v>
      </c>
      <c r="B1126" s="19">
        <v>0.539</v>
      </c>
      <c r="C1126" s="19">
        <v>1.1516</v>
      </c>
      <c r="D1126" s="17">
        <v>23297.27</v>
      </c>
      <c r="E1126" s="19">
        <v>0.8719</v>
      </c>
      <c r="F1126" s="19">
        <v>0.061</v>
      </c>
      <c r="G1126" s="17">
        <v>2732688.35</v>
      </c>
      <c r="H1126" s="17">
        <v>3277678.17</v>
      </c>
      <c r="I1126" s="8" t="s">
        <v>125</v>
      </c>
    </row>
    <row r="1127" ht="15" customHeight="1">
      <c r="A1127" s="7">
        <v>1125</v>
      </c>
      <c r="B1127" s="18">
        <v>0.4525</v>
      </c>
      <c r="C1127" s="18">
        <v>0.7858</v>
      </c>
      <c r="D1127" s="16">
        <v>25739.7</v>
      </c>
      <c r="E1127" s="18">
        <v>0.862</v>
      </c>
      <c r="F1127" s="18">
        <v>0.0826</v>
      </c>
      <c r="G1127" s="16">
        <v>1073142.4</v>
      </c>
      <c r="H1127" s="16">
        <v>1331362.02</v>
      </c>
      <c r="I1127" s="7" t="s">
        <v>125</v>
      </c>
    </row>
    <row r="1128" ht="15" customHeight="1">
      <c r="A1128" s="8">
        <v>1126</v>
      </c>
      <c r="B1128" s="19">
        <v>0.435</v>
      </c>
      <c r="C1128" s="19">
        <v>0.5628</v>
      </c>
      <c r="D1128" s="17">
        <v>31470.4</v>
      </c>
      <c r="E1128" s="19">
        <v>0.8968</v>
      </c>
      <c r="F1128" s="19">
        <v>0.0417</v>
      </c>
      <c r="G1128" s="17">
        <v>183534.36</v>
      </c>
      <c r="H1128" s="17">
        <v>279913.19</v>
      </c>
      <c r="I1128" s="8" t="s">
        <v>125</v>
      </c>
    </row>
    <row r="1129" ht="15" customHeight="1">
      <c r="A1129" s="7">
        <v>1127</v>
      </c>
      <c r="B1129" s="18">
        <v>0.7854</v>
      </c>
      <c r="C1129" s="18">
        <v>1.2823</v>
      </c>
      <c r="D1129" s="16">
        <v>27132.15</v>
      </c>
      <c r="E1129" s="18">
        <v>0.9505</v>
      </c>
      <c r="F1129" s="18">
        <v>0.1198</v>
      </c>
      <c r="G1129" s="16">
        <v>6080473.15</v>
      </c>
      <c r="H1129" s="16">
        <v>7249860.59</v>
      </c>
      <c r="I1129" s="7" t="s">
        <v>125</v>
      </c>
    </row>
    <row r="1130" ht="15" customHeight="1">
      <c r="A1130" s="8">
        <v>1128</v>
      </c>
      <c r="B1130" s="19">
        <v>0.3969</v>
      </c>
      <c r="C1130" s="19">
        <v>0.8977</v>
      </c>
      <c r="D1130" s="17">
        <v>33879.32</v>
      </c>
      <c r="E1130" s="19">
        <v>0.9296</v>
      </c>
      <c r="F1130" s="19">
        <v>0.0589</v>
      </c>
      <c r="G1130" s="17">
        <v>926422.09</v>
      </c>
      <c r="H1130" s="17">
        <v>1155703.96</v>
      </c>
      <c r="I1130" s="8" t="s">
        <v>125</v>
      </c>
    </row>
    <row r="1131" ht="15" customHeight="1">
      <c r="A1131" s="7">
        <v>1129</v>
      </c>
      <c r="B1131" s="18">
        <v>0.6562</v>
      </c>
      <c r="C1131" s="18">
        <v>0.9472</v>
      </c>
      <c r="D1131" s="16">
        <v>26884.62</v>
      </c>
      <c r="E1131" s="18">
        <v>0.8906</v>
      </c>
      <c r="F1131" s="18">
        <v>0.1191</v>
      </c>
      <c r="G1131" s="16">
        <v>3019974.46</v>
      </c>
      <c r="H1131" s="16">
        <v>3636613.35</v>
      </c>
      <c r="I1131" s="7" t="s">
        <v>125</v>
      </c>
    </row>
    <row r="1132" ht="15" customHeight="1">
      <c r="A1132" s="8">
        <v>1130</v>
      </c>
      <c r="B1132" s="19">
        <v>0.4413</v>
      </c>
      <c r="C1132" s="19">
        <v>1.0302</v>
      </c>
      <c r="D1132" s="17">
        <v>34938.06</v>
      </c>
      <c r="E1132" s="19">
        <v>0.8992</v>
      </c>
      <c r="F1132" s="19">
        <v>0.115</v>
      </c>
      <c r="G1132" s="17">
        <v>1657935.35</v>
      </c>
      <c r="H1132" s="17">
        <v>2030340.85</v>
      </c>
      <c r="I1132" s="8" t="s">
        <v>125</v>
      </c>
    </row>
    <row r="1133" ht="15" customHeight="1">
      <c r="A1133" s="7">
        <v>1131</v>
      </c>
      <c r="B1133" s="18">
        <v>0.6971</v>
      </c>
      <c r="C1133" s="18">
        <v>1.163</v>
      </c>
      <c r="D1133" s="16">
        <v>24640.1</v>
      </c>
      <c r="E1133" s="18">
        <v>0.8932</v>
      </c>
      <c r="F1133" s="18">
        <v>0.0715</v>
      </c>
      <c r="G1133" s="16">
        <v>4047468.43</v>
      </c>
      <c r="H1133" s="16">
        <v>4828131.74</v>
      </c>
      <c r="I1133" s="7" t="s">
        <v>125</v>
      </c>
    </row>
    <row r="1134" ht="15" customHeight="1">
      <c r="A1134" s="8">
        <v>1132</v>
      </c>
      <c r="B1134" s="19">
        <v>0.706</v>
      </c>
      <c r="C1134" s="19">
        <v>1.2136</v>
      </c>
      <c r="D1134" s="17">
        <v>25487.29</v>
      </c>
      <c r="E1134" s="19">
        <v>0.7929</v>
      </c>
      <c r="F1134" s="19">
        <v>0.0804</v>
      </c>
      <c r="G1134" s="17">
        <v>3760925.29</v>
      </c>
      <c r="H1134" s="17">
        <v>4494945.92</v>
      </c>
      <c r="I1134" s="8" t="s">
        <v>125</v>
      </c>
    </row>
    <row r="1135" ht="15" customHeight="1">
      <c r="A1135" s="7">
        <v>1133</v>
      </c>
      <c r="B1135" s="18">
        <v>0.6003</v>
      </c>
      <c r="C1135" s="18">
        <v>1.0221</v>
      </c>
      <c r="D1135" s="16">
        <v>37294.19</v>
      </c>
      <c r="E1135" s="18">
        <v>0.8293</v>
      </c>
      <c r="F1135" s="18">
        <v>0.0758</v>
      </c>
      <c r="G1135" s="16">
        <v>2146805.7</v>
      </c>
      <c r="H1135" s="16">
        <v>2595957.32</v>
      </c>
      <c r="I1135" s="7" t="s">
        <v>125</v>
      </c>
    </row>
    <row r="1136" ht="15" customHeight="1">
      <c r="A1136" s="8">
        <v>1134</v>
      </c>
      <c r="B1136" s="19">
        <v>0.51</v>
      </c>
      <c r="C1136" s="19">
        <v>0.7229</v>
      </c>
      <c r="D1136" s="17">
        <v>36252.05</v>
      </c>
      <c r="E1136" s="19">
        <v>0.9228</v>
      </c>
      <c r="F1136" s="19">
        <v>0.0759</v>
      </c>
      <c r="G1136" s="17">
        <v>971152.41</v>
      </c>
      <c r="H1136" s="17">
        <v>1212236.27</v>
      </c>
      <c r="I1136" s="8" t="s">
        <v>125</v>
      </c>
    </row>
    <row r="1137" ht="15" customHeight="1">
      <c r="A1137" s="7">
        <v>1135</v>
      </c>
      <c r="B1137" s="18">
        <v>0.4509</v>
      </c>
      <c r="C1137" s="18">
        <v>1.0929</v>
      </c>
      <c r="D1137" s="16">
        <v>21971.85</v>
      </c>
      <c r="E1137" s="18">
        <v>0.8314</v>
      </c>
      <c r="F1137" s="18">
        <v>0.0646</v>
      </c>
      <c r="G1137" s="16">
        <v>1864149.48</v>
      </c>
      <c r="H1137" s="16">
        <v>2257353.64</v>
      </c>
      <c r="I1137" s="7" t="s">
        <v>125</v>
      </c>
    </row>
    <row r="1138" ht="15" customHeight="1">
      <c r="A1138" s="8">
        <v>1136</v>
      </c>
      <c r="B1138" s="19">
        <v>0.7897</v>
      </c>
      <c r="C1138" s="19">
        <v>1.0122</v>
      </c>
      <c r="D1138" s="17">
        <v>27917.38</v>
      </c>
      <c r="E1138" s="19">
        <v>0.8625</v>
      </c>
      <c r="F1138" s="19">
        <v>0.1381</v>
      </c>
      <c r="G1138" s="17">
        <v>4149529.43</v>
      </c>
      <c r="H1138" s="17">
        <v>4978640.19</v>
      </c>
      <c r="I1138" s="8" t="s">
        <v>125</v>
      </c>
    </row>
    <row r="1139" ht="15" customHeight="1">
      <c r="A1139" s="7">
        <v>1137</v>
      </c>
      <c r="B1139" s="18">
        <v>0.7671</v>
      </c>
      <c r="C1139" s="18">
        <v>1.0421</v>
      </c>
      <c r="D1139" s="16">
        <v>19955.25</v>
      </c>
      <c r="E1139" s="18">
        <v>0.8536</v>
      </c>
      <c r="F1139" s="18">
        <v>0.1543</v>
      </c>
      <c r="G1139" s="16">
        <v>4452035.48</v>
      </c>
      <c r="H1139" s="16">
        <v>5340372.27</v>
      </c>
      <c r="I1139" s="7" t="s">
        <v>125</v>
      </c>
    </row>
    <row r="1140" ht="15" customHeight="1">
      <c r="A1140" s="8">
        <v>1138</v>
      </c>
      <c r="B1140" s="19">
        <v>0.6716</v>
      </c>
      <c r="C1140" s="19">
        <v>1.017</v>
      </c>
      <c r="D1140" s="17">
        <v>34026.04</v>
      </c>
      <c r="E1140" s="19">
        <v>0.8385</v>
      </c>
      <c r="F1140" s="19">
        <v>0.0826</v>
      </c>
      <c r="G1140" s="17">
        <v>2741354.69</v>
      </c>
      <c r="H1140" s="17">
        <v>3297327.28</v>
      </c>
      <c r="I1140" s="8" t="s">
        <v>125</v>
      </c>
    </row>
    <row r="1141" ht="15" customHeight="1">
      <c r="A1141" s="7">
        <v>1139</v>
      </c>
      <c r="B1141" s="18">
        <v>0.6948</v>
      </c>
      <c r="C1141" s="18">
        <v>1.1316</v>
      </c>
      <c r="D1141" s="16">
        <v>26943.6</v>
      </c>
      <c r="E1141" s="18">
        <v>0.847</v>
      </c>
      <c r="F1141" s="18">
        <v>0.0901</v>
      </c>
      <c r="G1141" s="16">
        <v>3680723.11</v>
      </c>
      <c r="H1141" s="16">
        <v>4404824.68</v>
      </c>
      <c r="I1141" s="7" t="s">
        <v>125</v>
      </c>
    </row>
    <row r="1142" ht="15" customHeight="1">
      <c r="A1142" s="8">
        <v>1140</v>
      </c>
      <c r="B1142" s="19">
        <v>0.5423</v>
      </c>
      <c r="C1142" s="19">
        <v>1.1896</v>
      </c>
      <c r="D1142" s="17">
        <v>33896.96</v>
      </c>
      <c r="E1142" s="19">
        <v>0.8311</v>
      </c>
      <c r="F1142" s="19">
        <v>0.067</v>
      </c>
      <c r="G1142" s="17">
        <v>2400959.3</v>
      </c>
      <c r="H1142" s="17">
        <v>2891447.07</v>
      </c>
      <c r="I1142" s="8" t="s">
        <v>125</v>
      </c>
    </row>
    <row r="1143" ht="15" customHeight="1">
      <c r="A1143" s="7">
        <v>1141</v>
      </c>
      <c r="B1143" s="18">
        <v>0.6022</v>
      </c>
      <c r="C1143" s="18">
        <v>0.9364</v>
      </c>
      <c r="D1143" s="16">
        <v>19107.72</v>
      </c>
      <c r="E1143" s="18">
        <v>0.9315</v>
      </c>
      <c r="F1143" s="18">
        <v>0.105</v>
      </c>
      <c r="G1143" s="16">
        <v>2971725.61</v>
      </c>
      <c r="H1143" s="16">
        <v>3572595.61</v>
      </c>
      <c r="I1143" s="7" t="s">
        <v>125</v>
      </c>
    </row>
    <row r="1144" ht="15" customHeight="1">
      <c r="A1144" s="8">
        <v>1142</v>
      </c>
      <c r="B1144" s="19">
        <v>0.6622</v>
      </c>
      <c r="C1144" s="19">
        <v>1.0597</v>
      </c>
      <c r="D1144" s="17">
        <v>28298.15</v>
      </c>
      <c r="E1144" s="19">
        <v>0.9324</v>
      </c>
      <c r="F1144" s="19">
        <v>0.1282</v>
      </c>
      <c r="G1144" s="17">
        <v>3799194.17</v>
      </c>
      <c r="H1144" s="17">
        <v>4560632.06</v>
      </c>
      <c r="I1144" s="8" t="s">
        <v>125</v>
      </c>
    </row>
    <row r="1145" ht="15" customHeight="1">
      <c r="A1145" s="7">
        <v>1143</v>
      </c>
      <c r="B1145" s="18">
        <v>0.4371</v>
      </c>
      <c r="C1145" s="18">
        <v>0.9737</v>
      </c>
      <c r="D1145" s="16">
        <v>31633.74</v>
      </c>
      <c r="E1145" s="18">
        <v>0.8923</v>
      </c>
      <c r="F1145" s="18">
        <v>0.0304</v>
      </c>
      <c r="G1145" s="16">
        <v>1234755.68</v>
      </c>
      <c r="H1145" s="16">
        <v>1511329.27</v>
      </c>
      <c r="I1145" s="7" t="s">
        <v>125</v>
      </c>
    </row>
    <row r="1146" ht="15" customHeight="1">
      <c r="A1146" s="8">
        <v>1144</v>
      </c>
      <c r="B1146" s="19">
        <v>0.3561</v>
      </c>
      <c r="C1146" s="19">
        <v>0.837</v>
      </c>
      <c r="D1146" s="17">
        <v>28197.3</v>
      </c>
      <c r="E1146" s="19">
        <v>0.8698</v>
      </c>
      <c r="F1146" s="19">
        <v>0.164</v>
      </c>
      <c r="G1146" s="17">
        <v>865808.88</v>
      </c>
      <c r="H1146" s="17">
        <v>1101730.75</v>
      </c>
      <c r="I1146" s="8" t="s">
        <v>125</v>
      </c>
    </row>
    <row r="1147" ht="15" customHeight="1">
      <c r="A1147" s="7">
        <v>1145</v>
      </c>
      <c r="B1147" s="18">
        <v>0.522</v>
      </c>
      <c r="C1147" s="18">
        <v>1.0469</v>
      </c>
      <c r="D1147" s="16">
        <v>30245.91</v>
      </c>
      <c r="E1147" s="18">
        <v>0.927</v>
      </c>
      <c r="F1147" s="18">
        <v>0.1149</v>
      </c>
      <c r="G1147" s="16">
        <v>2539466.18</v>
      </c>
      <c r="H1147" s="16">
        <v>3069144</v>
      </c>
      <c r="I1147" s="7" t="s">
        <v>125</v>
      </c>
    </row>
    <row r="1148" ht="15" customHeight="1">
      <c r="A1148" s="8">
        <v>1146</v>
      </c>
      <c r="B1148" s="19">
        <v>0.5618</v>
      </c>
      <c r="C1148" s="19">
        <v>0.7807</v>
      </c>
      <c r="D1148" s="17">
        <v>33370.94</v>
      </c>
      <c r="E1148" s="19">
        <v>0.8756</v>
      </c>
      <c r="F1148" s="19">
        <v>0.0665</v>
      </c>
      <c r="G1148" s="17">
        <v>1339454.51</v>
      </c>
      <c r="H1148" s="17">
        <v>1642876.73</v>
      </c>
      <c r="I1148" s="8" t="s">
        <v>125</v>
      </c>
    </row>
    <row r="1149" ht="15" customHeight="1">
      <c r="A1149" s="7">
        <v>1147</v>
      </c>
      <c r="B1149" s="18">
        <v>0.67</v>
      </c>
      <c r="C1149" s="18">
        <v>1.2636</v>
      </c>
      <c r="D1149" s="16">
        <v>14994.18</v>
      </c>
      <c r="E1149" s="18">
        <v>0.8538</v>
      </c>
      <c r="F1149" s="18">
        <v>0.0471</v>
      </c>
      <c r="G1149" s="16">
        <v>4169272.89</v>
      </c>
      <c r="H1149" s="16">
        <v>4958979.35</v>
      </c>
      <c r="I1149" s="7" t="s">
        <v>125</v>
      </c>
    </row>
    <row r="1150" ht="15" customHeight="1">
      <c r="A1150" s="8">
        <v>1148</v>
      </c>
      <c r="B1150" s="19">
        <v>0.4582</v>
      </c>
      <c r="C1150" s="19">
        <v>1.144</v>
      </c>
      <c r="D1150" s="17">
        <v>25606.98</v>
      </c>
      <c r="E1150" s="19">
        <v>0.8478</v>
      </c>
      <c r="F1150" s="19">
        <v>0.0887</v>
      </c>
      <c r="G1150" s="17">
        <v>2100110.16</v>
      </c>
      <c r="H1150" s="17">
        <v>2542149.09</v>
      </c>
      <c r="I1150" s="8" t="s">
        <v>125</v>
      </c>
    </row>
    <row r="1151" ht="15" customHeight="1">
      <c r="A1151" s="7">
        <v>1149</v>
      </c>
      <c r="B1151" s="18">
        <v>0.8334</v>
      </c>
      <c r="C1151" s="18">
        <v>0.7875</v>
      </c>
      <c r="D1151" s="16">
        <v>27275.86</v>
      </c>
      <c r="E1151" s="18">
        <v>0.9033</v>
      </c>
      <c r="F1151" s="18">
        <v>0.1385</v>
      </c>
      <c r="G1151" s="16">
        <v>3420484.01</v>
      </c>
      <c r="H1151" s="16">
        <v>4116832.98</v>
      </c>
      <c r="I1151" s="7" t="s">
        <v>125</v>
      </c>
    </row>
    <row r="1152" ht="15" customHeight="1">
      <c r="A1152" s="8">
        <v>1150</v>
      </c>
      <c r="B1152" s="19">
        <v>0.3326</v>
      </c>
      <c r="C1152" s="19">
        <v>0.7453</v>
      </c>
      <c r="D1152" s="17">
        <v>28325.2</v>
      </c>
      <c r="E1152" s="19">
        <v>0.9464</v>
      </c>
      <c r="F1152" s="19">
        <v>0.2404</v>
      </c>
      <c r="G1152" s="17">
        <v>854649.02</v>
      </c>
      <c r="H1152" s="17">
        <v>1100750.67</v>
      </c>
      <c r="I1152" s="8" t="s">
        <v>125</v>
      </c>
    </row>
    <row r="1153" ht="15" customHeight="1">
      <c r="A1153" s="7">
        <v>1151</v>
      </c>
      <c r="B1153" s="18">
        <v>0.7035</v>
      </c>
      <c r="C1153" s="18">
        <v>1.1133</v>
      </c>
      <c r="D1153" s="16">
        <v>27847.43</v>
      </c>
      <c r="E1153" s="18">
        <v>0.9199</v>
      </c>
      <c r="F1153" s="18">
        <v>0.1346</v>
      </c>
      <c r="G1153" s="16">
        <v>4368155.37</v>
      </c>
      <c r="H1153" s="16">
        <v>5235440.26</v>
      </c>
      <c r="I1153" s="7" t="s">
        <v>125</v>
      </c>
    </row>
    <row r="1154" ht="15" customHeight="1">
      <c r="A1154" s="8">
        <v>1152</v>
      </c>
      <c r="B1154" s="19">
        <v>0.6096</v>
      </c>
      <c r="C1154" s="19">
        <v>1.0013</v>
      </c>
      <c r="D1154" s="17">
        <v>24767.07</v>
      </c>
      <c r="E1154" s="19">
        <v>0.8868</v>
      </c>
      <c r="F1154" s="19">
        <v>0.0764</v>
      </c>
      <c r="G1154" s="17">
        <v>2766899.9</v>
      </c>
      <c r="H1154" s="17">
        <v>3323267.84</v>
      </c>
      <c r="I1154" s="8" t="s">
        <v>125</v>
      </c>
    </row>
    <row r="1155" ht="15" customHeight="1">
      <c r="A1155" s="7">
        <v>1153</v>
      </c>
      <c r="B1155" s="18">
        <v>0.7823</v>
      </c>
      <c r="C1155" s="18">
        <v>1.1247</v>
      </c>
      <c r="D1155" s="16">
        <v>26209.25</v>
      </c>
      <c r="E1155" s="18">
        <v>0.8779</v>
      </c>
      <c r="F1155" s="18">
        <v>0.078</v>
      </c>
      <c r="G1155" s="16">
        <v>4391206.21</v>
      </c>
      <c r="H1155" s="16">
        <v>5235917.78</v>
      </c>
      <c r="I1155" s="7" t="s">
        <v>125</v>
      </c>
    </row>
    <row r="1156" ht="15" customHeight="1">
      <c r="A1156" s="8">
        <v>1154</v>
      </c>
      <c r="B1156" s="19">
        <v>0.6822</v>
      </c>
      <c r="C1156" s="19">
        <v>0.9492</v>
      </c>
      <c r="D1156" s="17">
        <v>30009.32</v>
      </c>
      <c r="E1156" s="19">
        <v>0.8295</v>
      </c>
      <c r="F1156" s="19">
        <v>0.0349</v>
      </c>
      <c r="G1156" s="17">
        <v>2367144.56</v>
      </c>
      <c r="H1156" s="17">
        <v>2840746.7</v>
      </c>
      <c r="I1156" s="8" t="s">
        <v>125</v>
      </c>
    </row>
    <row r="1157" ht="15" customHeight="1">
      <c r="A1157" s="7">
        <v>1155</v>
      </c>
      <c r="B1157" s="18">
        <v>0.6538</v>
      </c>
      <c r="C1157" s="18">
        <v>0.8019</v>
      </c>
      <c r="D1157" s="16">
        <v>28106.41</v>
      </c>
      <c r="E1157" s="18">
        <v>0.911</v>
      </c>
      <c r="F1157" s="18">
        <v>0.0836</v>
      </c>
      <c r="G1157" s="16">
        <v>2241016.8</v>
      </c>
      <c r="H1157" s="16">
        <v>2707228.08</v>
      </c>
      <c r="I1157" s="7" t="s">
        <v>125</v>
      </c>
    </row>
    <row r="1158" ht="15" customHeight="1">
      <c r="A1158" s="8">
        <v>1156</v>
      </c>
      <c r="B1158" s="19">
        <v>0.7758</v>
      </c>
      <c r="C1158" s="19">
        <v>0.9718</v>
      </c>
      <c r="D1158" s="17">
        <v>33749.26</v>
      </c>
      <c r="E1158" s="19">
        <v>0.8876</v>
      </c>
      <c r="F1158" s="19">
        <v>0.149</v>
      </c>
      <c r="G1158" s="17">
        <v>3886780.75</v>
      </c>
      <c r="H1158" s="17">
        <v>4674857.85</v>
      </c>
      <c r="I1158" s="8" t="s">
        <v>125</v>
      </c>
    </row>
    <row r="1159" ht="15" customHeight="1">
      <c r="A1159" s="7">
        <v>1157</v>
      </c>
      <c r="B1159" s="18">
        <v>0.6702</v>
      </c>
      <c r="C1159" s="18">
        <v>0.8625</v>
      </c>
      <c r="D1159" s="16">
        <v>29723.23</v>
      </c>
      <c r="E1159" s="18">
        <v>0.8474</v>
      </c>
      <c r="F1159" s="18">
        <v>0.0554</v>
      </c>
      <c r="G1159" s="16">
        <v>2148525.92</v>
      </c>
      <c r="H1159" s="16">
        <v>2590395.47</v>
      </c>
      <c r="I1159" s="7" t="s">
        <v>125</v>
      </c>
    </row>
    <row r="1160" ht="15" customHeight="1">
      <c r="A1160" s="8">
        <v>1158</v>
      </c>
      <c r="B1160" s="19">
        <v>0.6049</v>
      </c>
      <c r="C1160" s="19">
        <v>1.0428</v>
      </c>
      <c r="D1160" s="17">
        <v>31054.1</v>
      </c>
      <c r="E1160" s="19">
        <v>0.8757</v>
      </c>
      <c r="F1160" s="19">
        <v>0.1017</v>
      </c>
      <c r="G1160" s="17">
        <v>2788381.62</v>
      </c>
      <c r="H1160" s="17">
        <v>3358649.69</v>
      </c>
      <c r="I1160" s="8" t="s">
        <v>125</v>
      </c>
    </row>
    <row r="1161" ht="15" customHeight="1">
      <c r="A1161" s="7">
        <v>1159</v>
      </c>
      <c r="B1161" s="18">
        <v>0.5429</v>
      </c>
      <c r="C1161" s="18">
        <v>0.9903</v>
      </c>
      <c r="D1161" s="16">
        <v>27813.97</v>
      </c>
      <c r="E1161" s="18">
        <v>0.9017</v>
      </c>
      <c r="F1161" s="18">
        <v>0.1244</v>
      </c>
      <c r="G1161" s="16">
        <v>2495704.69</v>
      </c>
      <c r="H1161" s="16">
        <v>3019662.41</v>
      </c>
      <c r="I1161" s="7" t="s">
        <v>125</v>
      </c>
    </row>
    <row r="1162" ht="15" customHeight="1">
      <c r="A1162" s="8">
        <v>1160</v>
      </c>
      <c r="B1162" s="19">
        <v>0.6908</v>
      </c>
      <c r="C1162" s="19">
        <v>1.0208</v>
      </c>
      <c r="D1162" s="17">
        <v>32530.01</v>
      </c>
      <c r="E1162" s="19">
        <v>0.8792</v>
      </c>
      <c r="F1162" s="19">
        <v>0.144</v>
      </c>
      <c r="G1162" s="17">
        <v>3505363.02</v>
      </c>
      <c r="H1162" s="17">
        <v>4221262.59</v>
      </c>
      <c r="I1162" s="8" t="s">
        <v>125</v>
      </c>
    </row>
    <row r="1163" ht="15" customHeight="1">
      <c r="A1163" s="7">
        <v>1161</v>
      </c>
      <c r="B1163" s="18">
        <v>0.5697</v>
      </c>
      <c r="C1163" s="18">
        <v>1.1128</v>
      </c>
      <c r="D1163" s="16">
        <v>24512.58</v>
      </c>
      <c r="E1163" s="18">
        <v>0.8357</v>
      </c>
      <c r="F1163" s="18">
        <v>0.1419</v>
      </c>
      <c r="G1163" s="16">
        <v>3033484.05</v>
      </c>
      <c r="H1163" s="16">
        <v>3659510.12</v>
      </c>
      <c r="I1163" s="7" t="s">
        <v>125</v>
      </c>
    </row>
    <row r="1164" ht="15" customHeight="1">
      <c r="A1164" s="8">
        <v>1162</v>
      </c>
      <c r="B1164" s="19">
        <v>0.6735</v>
      </c>
      <c r="C1164" s="19">
        <v>1.1091</v>
      </c>
      <c r="D1164" s="17">
        <v>20190.59</v>
      </c>
      <c r="E1164" s="19">
        <v>0.8851</v>
      </c>
      <c r="F1164" s="19">
        <v>0.1144</v>
      </c>
      <c r="G1164" s="17">
        <v>4011089.36</v>
      </c>
      <c r="H1164" s="17">
        <v>4802519.08</v>
      </c>
      <c r="I1164" s="8" t="s">
        <v>125</v>
      </c>
    </row>
    <row r="1165" ht="15" customHeight="1">
      <c r="A1165" s="7">
        <v>1163</v>
      </c>
      <c r="B1165" s="18">
        <v>0.644</v>
      </c>
      <c r="C1165" s="18">
        <v>0.8555</v>
      </c>
      <c r="D1165" s="16">
        <v>33317.53</v>
      </c>
      <c r="E1165" s="18">
        <v>0.8865</v>
      </c>
      <c r="F1165" s="18">
        <v>0.0905</v>
      </c>
      <c r="G1165" s="16">
        <v>2191714.53</v>
      </c>
      <c r="H1165" s="16">
        <v>2652431.27</v>
      </c>
      <c r="I1165" s="7" t="s">
        <v>125</v>
      </c>
    </row>
    <row r="1166" ht="15" customHeight="1">
      <c r="A1166" s="8">
        <v>1164</v>
      </c>
      <c r="B1166" s="19">
        <v>0.6627</v>
      </c>
      <c r="C1166" s="19">
        <v>1.0099</v>
      </c>
      <c r="D1166" s="17">
        <v>15836.48</v>
      </c>
      <c r="E1166" s="19">
        <v>0.9151</v>
      </c>
      <c r="F1166" s="19">
        <v>0.0901</v>
      </c>
      <c r="G1166" s="17">
        <v>3632320.14</v>
      </c>
      <c r="H1166" s="17">
        <v>4345096.04</v>
      </c>
      <c r="I1166" s="8" t="s">
        <v>125</v>
      </c>
    </row>
    <row r="1167" ht="15" customHeight="1">
      <c r="A1167" s="7">
        <v>1165</v>
      </c>
      <c r="B1167" s="18">
        <v>0.8122</v>
      </c>
      <c r="C1167" s="18">
        <v>0.9493</v>
      </c>
      <c r="D1167" s="16">
        <v>25819.72</v>
      </c>
      <c r="E1167" s="18">
        <v>0.9189</v>
      </c>
      <c r="F1167" s="18">
        <v>0.1268</v>
      </c>
      <c r="G1167" s="16">
        <v>4282155.95</v>
      </c>
      <c r="H1167" s="16">
        <v>5129637.56</v>
      </c>
      <c r="I1167" s="7" t="s">
        <v>125</v>
      </c>
    </row>
    <row r="1168" ht="15" customHeight="1">
      <c r="A1168" s="8">
        <v>1166</v>
      </c>
      <c r="B1168" s="19">
        <v>0.529</v>
      </c>
      <c r="C1168" s="19">
        <v>0.8887</v>
      </c>
      <c r="D1168" s="17">
        <v>25254.91</v>
      </c>
      <c r="E1168" s="19">
        <v>0.906</v>
      </c>
      <c r="F1168" s="19">
        <v>0.0658</v>
      </c>
      <c r="G1168" s="17">
        <v>1882672.62</v>
      </c>
      <c r="H1168" s="17">
        <v>2280030.95</v>
      </c>
      <c r="I1168" s="8" t="s">
        <v>125</v>
      </c>
    </row>
    <row r="1169" ht="15" customHeight="1">
      <c r="A1169" s="7">
        <v>1167</v>
      </c>
      <c r="B1169" s="18">
        <v>0.6531</v>
      </c>
      <c r="C1169" s="18">
        <v>0.9196</v>
      </c>
      <c r="D1169" s="16">
        <v>26897.04</v>
      </c>
      <c r="E1169" s="18">
        <v>0.8928</v>
      </c>
      <c r="F1169" s="18">
        <v>0.1561</v>
      </c>
      <c r="G1169" s="16">
        <v>3088005.43</v>
      </c>
      <c r="H1169" s="16">
        <v>3729725.17</v>
      </c>
      <c r="I1169" s="7" t="s">
        <v>125</v>
      </c>
    </row>
    <row r="1170" ht="15" customHeight="1">
      <c r="A1170" s="8">
        <v>1168</v>
      </c>
      <c r="B1170" s="19">
        <v>0.5916</v>
      </c>
      <c r="C1170" s="19">
        <v>1.117</v>
      </c>
      <c r="D1170" s="17">
        <v>24744.02</v>
      </c>
      <c r="E1170" s="19">
        <v>0.8527</v>
      </c>
      <c r="F1170" s="19">
        <v>0.1083</v>
      </c>
      <c r="G1170" s="17">
        <v>3101095.44</v>
      </c>
      <c r="H1170" s="17">
        <v>3727918.28</v>
      </c>
      <c r="I1170" s="8" t="s">
        <v>125</v>
      </c>
    </row>
    <row r="1171" ht="15" customHeight="1">
      <c r="A1171" s="7">
        <v>1169</v>
      </c>
      <c r="B1171" s="18">
        <v>0.7383</v>
      </c>
      <c r="C1171" s="18">
        <v>1.234</v>
      </c>
      <c r="D1171" s="16">
        <v>31866.01</v>
      </c>
      <c r="E1171" s="18">
        <v>0.9057</v>
      </c>
      <c r="F1171" s="18">
        <v>0.0437</v>
      </c>
      <c r="G1171" s="16">
        <v>4328635.72</v>
      </c>
      <c r="H1171" s="16">
        <v>5146604.78</v>
      </c>
      <c r="I1171" s="7" t="s">
        <v>125</v>
      </c>
    </row>
    <row r="1172" ht="15" customHeight="1">
      <c r="A1172" s="8">
        <v>1170</v>
      </c>
      <c r="B1172" s="19">
        <v>0.6717</v>
      </c>
      <c r="C1172" s="19">
        <v>0.9429</v>
      </c>
      <c r="D1172" s="17">
        <v>25129.36</v>
      </c>
      <c r="E1172" s="19">
        <v>0.903</v>
      </c>
      <c r="F1172" s="19">
        <v>0.0984</v>
      </c>
      <c r="G1172" s="17">
        <v>3097060.63</v>
      </c>
      <c r="H1172" s="17">
        <v>3719791.79</v>
      </c>
      <c r="I1172" s="8" t="s">
        <v>125</v>
      </c>
    </row>
    <row r="1173" ht="15" customHeight="1">
      <c r="A1173" s="7">
        <v>1171</v>
      </c>
      <c r="B1173" s="18">
        <v>0.5315</v>
      </c>
      <c r="C1173" s="18">
        <v>1.0067</v>
      </c>
      <c r="D1173" s="16">
        <v>28656.15</v>
      </c>
      <c r="E1173" s="18">
        <v>0.8854</v>
      </c>
      <c r="F1173" s="18">
        <v>0.0968</v>
      </c>
      <c r="G1173" s="16">
        <v>2256772.4</v>
      </c>
      <c r="H1173" s="16">
        <v>2729779.06</v>
      </c>
      <c r="I1173" s="7" t="s">
        <v>125</v>
      </c>
    </row>
    <row r="1174" ht="15" customHeight="1">
      <c r="A1174" s="8">
        <v>1172</v>
      </c>
      <c r="B1174" s="19">
        <v>0.6841</v>
      </c>
      <c r="C1174" s="19">
        <v>1.0103</v>
      </c>
      <c r="D1174" s="17">
        <v>23201.52</v>
      </c>
      <c r="E1174" s="19">
        <v>0.8665</v>
      </c>
      <c r="F1174" s="19">
        <v>0.055</v>
      </c>
      <c r="G1174" s="17">
        <v>3106655.38</v>
      </c>
      <c r="H1174" s="17">
        <v>3715092.12</v>
      </c>
      <c r="I1174" s="8" t="s">
        <v>125</v>
      </c>
    </row>
    <row r="1175" ht="15" customHeight="1">
      <c r="A1175" s="7">
        <v>1173</v>
      </c>
      <c r="B1175" s="18">
        <v>0.6412</v>
      </c>
      <c r="C1175" s="18">
        <v>0.8882</v>
      </c>
      <c r="D1175" s="16">
        <v>21101.86</v>
      </c>
      <c r="E1175" s="18">
        <v>0.8183</v>
      </c>
      <c r="F1175" s="18">
        <v>0.114</v>
      </c>
      <c r="G1175" s="16">
        <v>2510743.16</v>
      </c>
      <c r="H1175" s="16">
        <v>3032170.64</v>
      </c>
      <c r="I1175" s="7" t="s">
        <v>125</v>
      </c>
    </row>
    <row r="1176" ht="15" customHeight="1">
      <c r="A1176" s="8">
        <v>1174</v>
      </c>
      <c r="B1176" s="19">
        <v>0.414</v>
      </c>
      <c r="C1176" s="19">
        <v>0.823</v>
      </c>
      <c r="D1176" s="17">
        <v>29982.23</v>
      </c>
      <c r="E1176" s="19">
        <v>0.9132</v>
      </c>
      <c r="F1176" s="19">
        <v>0.0865</v>
      </c>
      <c r="G1176" s="17">
        <v>987607.43</v>
      </c>
      <c r="H1176" s="17">
        <v>1232358.48</v>
      </c>
      <c r="I1176" s="8" t="s">
        <v>125</v>
      </c>
    </row>
    <row r="1177" ht="15" customHeight="1">
      <c r="A1177" s="7">
        <v>1175</v>
      </c>
      <c r="B1177" s="18">
        <v>0.5182</v>
      </c>
      <c r="C1177" s="18">
        <v>0.8377</v>
      </c>
      <c r="D1177" s="16">
        <v>32162.03</v>
      </c>
      <c r="E1177" s="18">
        <v>0.8385</v>
      </c>
      <c r="F1177" s="18">
        <v>0.1205</v>
      </c>
      <c r="G1177" s="16">
        <v>1425191.2</v>
      </c>
      <c r="H1177" s="16">
        <v>1756063.99</v>
      </c>
      <c r="I1177" s="7" t="s">
        <v>125</v>
      </c>
    </row>
    <row r="1178" ht="15" customHeight="1">
      <c r="A1178" s="8">
        <v>1176</v>
      </c>
      <c r="B1178" s="19">
        <v>0.5762</v>
      </c>
      <c r="C1178" s="19">
        <v>0.8976</v>
      </c>
      <c r="D1178" s="17">
        <v>30894.7</v>
      </c>
      <c r="E1178" s="19">
        <v>0.9028</v>
      </c>
      <c r="F1178" s="19">
        <v>0.0545</v>
      </c>
      <c r="G1178" s="17">
        <v>1949080.52</v>
      </c>
      <c r="H1178" s="17">
        <v>2355944.15</v>
      </c>
      <c r="I1178" s="8" t="s">
        <v>125</v>
      </c>
    </row>
    <row r="1179" ht="15" customHeight="1">
      <c r="A1179" s="7">
        <v>1177</v>
      </c>
      <c r="B1179" s="18">
        <v>0.375</v>
      </c>
      <c r="C1179" s="18">
        <v>1.1326</v>
      </c>
      <c r="D1179" s="16">
        <v>17382.68</v>
      </c>
      <c r="E1179" s="18">
        <v>0.9196</v>
      </c>
      <c r="F1179" s="18">
        <v>0.0901</v>
      </c>
      <c r="G1179" s="16">
        <v>1966042.16</v>
      </c>
      <c r="H1179" s="16">
        <v>2382583.49</v>
      </c>
      <c r="I1179" s="7" t="s">
        <v>125</v>
      </c>
    </row>
    <row r="1180" ht="15" customHeight="1">
      <c r="A1180" s="8">
        <v>1178</v>
      </c>
      <c r="B1180" s="19">
        <v>0.7202</v>
      </c>
      <c r="C1180" s="19">
        <v>1.1961</v>
      </c>
      <c r="D1180" s="17">
        <v>29795.26</v>
      </c>
      <c r="E1180" s="19">
        <v>0.9371</v>
      </c>
      <c r="F1180" s="19">
        <v>0.118</v>
      </c>
      <c r="G1180" s="17">
        <v>4845216.29</v>
      </c>
      <c r="H1180" s="17">
        <v>5791572.56</v>
      </c>
      <c r="I1180" s="8" t="s">
        <v>125</v>
      </c>
    </row>
    <row r="1181" ht="15" customHeight="1">
      <c r="A1181" s="7">
        <v>1179</v>
      </c>
      <c r="B1181" s="18">
        <v>0.6861</v>
      </c>
      <c r="C1181" s="18">
        <v>0.7504</v>
      </c>
      <c r="D1181" s="16">
        <v>31060.84</v>
      </c>
      <c r="E1181" s="18">
        <v>0.8822</v>
      </c>
      <c r="F1181" s="18">
        <v>0.1022</v>
      </c>
      <c r="G1181" s="16">
        <v>2062796.66</v>
      </c>
      <c r="H1181" s="16">
        <v>2503328.66</v>
      </c>
      <c r="I1181" s="7" t="s">
        <v>125</v>
      </c>
    </row>
    <row r="1182" ht="15" customHeight="1">
      <c r="A1182" s="8">
        <v>1180</v>
      </c>
      <c r="B1182" s="19">
        <v>0.7599</v>
      </c>
      <c r="C1182" s="19">
        <v>1.0607</v>
      </c>
      <c r="D1182" s="17">
        <v>30919.29</v>
      </c>
      <c r="E1182" s="19">
        <v>0.9172</v>
      </c>
      <c r="F1182" s="19">
        <v>-0.0205</v>
      </c>
      <c r="G1182" s="17">
        <v>3341747.14</v>
      </c>
      <c r="H1182" s="17">
        <v>3960899.72</v>
      </c>
      <c r="I1182" s="8" t="s">
        <v>125</v>
      </c>
    </row>
    <row r="1183" ht="15" customHeight="1">
      <c r="A1183" s="7">
        <v>1181</v>
      </c>
      <c r="B1183" s="18">
        <v>0.7728</v>
      </c>
      <c r="C1183" s="18">
        <v>0.8271</v>
      </c>
      <c r="D1183" s="16">
        <v>29348.89</v>
      </c>
      <c r="E1183" s="18">
        <v>0.9156</v>
      </c>
      <c r="F1183" s="18">
        <v>0.1425</v>
      </c>
      <c r="G1183" s="16">
        <v>3321524.38</v>
      </c>
      <c r="H1183" s="16">
        <v>4002109.49</v>
      </c>
      <c r="I1183" s="7" t="s">
        <v>125</v>
      </c>
    </row>
    <row r="1184" ht="15" customHeight="1">
      <c r="A1184" s="8">
        <v>1182</v>
      </c>
      <c r="B1184" s="19">
        <v>0.5979</v>
      </c>
      <c r="C1184" s="19">
        <v>0.6324</v>
      </c>
      <c r="D1184" s="17">
        <v>25920.81</v>
      </c>
      <c r="E1184" s="19">
        <v>0.8978</v>
      </c>
      <c r="F1184" s="19">
        <v>0.1388</v>
      </c>
      <c r="G1184" s="17">
        <v>1493421.38</v>
      </c>
      <c r="H1184" s="17">
        <v>1838559.42</v>
      </c>
      <c r="I1184" s="8" t="s">
        <v>125</v>
      </c>
    </row>
    <row r="1185" ht="15" customHeight="1">
      <c r="A1185" s="7">
        <v>1183</v>
      </c>
      <c r="B1185" s="18">
        <v>0.4698</v>
      </c>
      <c r="C1185" s="18">
        <v>0.7406</v>
      </c>
      <c r="D1185" s="16">
        <v>30454.25</v>
      </c>
      <c r="E1185" s="18">
        <v>0.8591</v>
      </c>
      <c r="F1185" s="18">
        <v>0.102</v>
      </c>
      <c r="G1185" s="16">
        <v>929096.82</v>
      </c>
      <c r="H1185" s="16">
        <v>1166444.96</v>
      </c>
      <c r="I1185" s="7" t="s">
        <v>125</v>
      </c>
    </row>
    <row r="1186" ht="15" customHeight="1">
      <c r="A1186" s="8">
        <v>1184</v>
      </c>
      <c r="B1186" s="19">
        <v>0.655</v>
      </c>
      <c r="C1186" s="19">
        <v>1.2194</v>
      </c>
      <c r="D1186" s="17">
        <v>25463.12</v>
      </c>
      <c r="E1186" s="19">
        <v>0.8488</v>
      </c>
      <c r="F1186" s="19">
        <v>0.1145</v>
      </c>
      <c r="G1186" s="17">
        <v>3976160.76</v>
      </c>
      <c r="H1186" s="17">
        <v>4762933.34</v>
      </c>
      <c r="I1186" s="8" t="s">
        <v>125</v>
      </c>
    </row>
    <row r="1187" ht="15" customHeight="1">
      <c r="A1187" s="7">
        <v>1185</v>
      </c>
      <c r="B1187" s="18">
        <v>0.469</v>
      </c>
      <c r="C1187" s="18">
        <v>0.9259</v>
      </c>
      <c r="D1187" s="16">
        <v>24573.59</v>
      </c>
      <c r="E1187" s="18">
        <v>0.9154</v>
      </c>
      <c r="F1187" s="18">
        <v>0.111</v>
      </c>
      <c r="G1187" s="16">
        <v>1875725.79</v>
      </c>
      <c r="H1187" s="16">
        <v>2283158.26</v>
      </c>
      <c r="I1187" s="7" t="s">
        <v>125</v>
      </c>
    </row>
    <row r="1188" ht="15" customHeight="1">
      <c r="A1188" s="8">
        <v>1186</v>
      </c>
      <c r="B1188" s="19">
        <v>0.6689</v>
      </c>
      <c r="C1188" s="19">
        <v>0.8214</v>
      </c>
      <c r="D1188" s="17">
        <v>28868.43</v>
      </c>
      <c r="E1188" s="19">
        <v>0.854</v>
      </c>
      <c r="F1188" s="19">
        <v>0.1515</v>
      </c>
      <c r="G1188" s="17">
        <v>2472934.49</v>
      </c>
      <c r="H1188" s="17">
        <v>3001289.65</v>
      </c>
      <c r="I1188" s="8" t="s">
        <v>125</v>
      </c>
    </row>
    <row r="1189" ht="15" customHeight="1">
      <c r="A1189" s="7">
        <v>1187</v>
      </c>
      <c r="B1189" s="18">
        <v>0.7204</v>
      </c>
      <c r="C1189" s="18">
        <v>0.8227</v>
      </c>
      <c r="D1189" s="16">
        <v>31807.94</v>
      </c>
      <c r="E1189" s="18">
        <v>0.9283</v>
      </c>
      <c r="F1189" s="18">
        <v>0.0969</v>
      </c>
      <c r="G1189" s="16">
        <v>2723333.76</v>
      </c>
      <c r="H1189" s="16">
        <v>3280509.33</v>
      </c>
      <c r="I1189" s="7" t="s">
        <v>125</v>
      </c>
    </row>
    <row r="1190" ht="15" customHeight="1">
      <c r="A1190" s="8">
        <v>1188</v>
      </c>
      <c r="B1190" s="19">
        <v>0.6721</v>
      </c>
      <c r="C1190" s="19">
        <v>1.302</v>
      </c>
      <c r="D1190" s="17">
        <v>31437.49</v>
      </c>
      <c r="E1190" s="19">
        <v>0.7868</v>
      </c>
      <c r="F1190" s="19">
        <v>0.1701</v>
      </c>
      <c r="G1190" s="17">
        <v>4260030.28</v>
      </c>
      <c r="H1190" s="17">
        <v>5124818.99</v>
      </c>
      <c r="I1190" s="8" t="s">
        <v>125</v>
      </c>
    </row>
    <row r="1191" ht="15" customHeight="1">
      <c r="A1191" s="7">
        <v>1189</v>
      </c>
      <c r="B1191" s="18">
        <v>0.5275</v>
      </c>
      <c r="C1191" s="18">
        <v>1.0627</v>
      </c>
      <c r="D1191" s="16">
        <v>31272.71</v>
      </c>
      <c r="E1191" s="18">
        <v>0.8917</v>
      </c>
      <c r="F1191" s="18">
        <v>0.0671</v>
      </c>
      <c r="G1191" s="16">
        <v>2226085.36</v>
      </c>
      <c r="H1191" s="16">
        <v>2685347.46</v>
      </c>
      <c r="I1191" s="7" t="s">
        <v>125</v>
      </c>
    </row>
    <row r="1192" ht="15" customHeight="1">
      <c r="A1192" s="8">
        <v>1190</v>
      </c>
      <c r="B1192" s="19">
        <v>0.5232</v>
      </c>
      <c r="C1192" s="19">
        <v>0.8832</v>
      </c>
      <c r="D1192" s="17">
        <v>25585.27</v>
      </c>
      <c r="E1192" s="19">
        <v>0.9009</v>
      </c>
      <c r="F1192" s="19">
        <v>0.0907</v>
      </c>
      <c r="G1192" s="17">
        <v>1903472.31</v>
      </c>
      <c r="H1192" s="17">
        <v>2311022.76</v>
      </c>
      <c r="I1192" s="8" t="s">
        <v>125</v>
      </c>
    </row>
    <row r="1193" ht="15" customHeight="1">
      <c r="A1193" s="7">
        <v>1191</v>
      </c>
      <c r="B1193" s="18">
        <v>0.624</v>
      </c>
      <c r="C1193" s="18">
        <v>1.2091</v>
      </c>
      <c r="D1193" s="16">
        <v>32358.09</v>
      </c>
      <c r="E1193" s="18">
        <v>0.9047</v>
      </c>
      <c r="F1193" s="18">
        <v>0.1411</v>
      </c>
      <c r="G1193" s="16">
        <v>3979959</v>
      </c>
      <c r="H1193" s="16">
        <v>4781115.07</v>
      </c>
      <c r="I1193" s="7" t="s">
        <v>125</v>
      </c>
    </row>
    <row r="1194" ht="15" customHeight="1">
      <c r="A1194" s="8">
        <v>1192</v>
      </c>
      <c r="B1194" s="19">
        <v>0.6027</v>
      </c>
      <c r="C1194" s="19">
        <v>1.1716</v>
      </c>
      <c r="D1194" s="17">
        <v>26544.38</v>
      </c>
      <c r="E1194" s="19">
        <v>0.8365</v>
      </c>
      <c r="F1194" s="19">
        <v>0.1171</v>
      </c>
      <c r="G1194" s="17">
        <v>3300113.96</v>
      </c>
      <c r="H1194" s="17">
        <v>3966446.58</v>
      </c>
      <c r="I1194" s="8" t="s">
        <v>125</v>
      </c>
    </row>
    <row r="1195" ht="15" customHeight="1">
      <c r="A1195" s="7">
        <v>1193</v>
      </c>
      <c r="B1195" s="18">
        <v>0.4391</v>
      </c>
      <c r="C1195" s="18">
        <v>1.0906</v>
      </c>
      <c r="D1195" s="16">
        <v>29934.77</v>
      </c>
      <c r="E1195" s="18">
        <v>0.8283</v>
      </c>
      <c r="F1195" s="18">
        <v>0.1753</v>
      </c>
      <c r="G1195" s="16">
        <v>1963482.83</v>
      </c>
      <c r="H1195" s="16">
        <v>2405100.01</v>
      </c>
      <c r="I1195" s="7" t="s">
        <v>125</v>
      </c>
    </row>
    <row r="1196" ht="15" customHeight="1">
      <c r="A1196" s="8">
        <v>1194</v>
      </c>
      <c r="B1196" s="19">
        <v>0.5121</v>
      </c>
      <c r="C1196" s="19">
        <v>0.683</v>
      </c>
      <c r="D1196" s="17">
        <v>33211.73</v>
      </c>
      <c r="E1196" s="19">
        <v>0.9204</v>
      </c>
      <c r="F1196" s="19">
        <v>0.0036</v>
      </c>
      <c r="G1196" s="17">
        <v>718445.4</v>
      </c>
      <c r="H1196" s="17">
        <v>900858.32</v>
      </c>
      <c r="I1196" s="8" t="s">
        <v>125</v>
      </c>
    </row>
    <row r="1197" ht="15" customHeight="1">
      <c r="A1197" s="7">
        <v>1195</v>
      </c>
      <c r="B1197" s="18">
        <v>0.5676</v>
      </c>
      <c r="C1197" s="18">
        <v>1.3404</v>
      </c>
      <c r="D1197" s="16">
        <v>22160.88</v>
      </c>
      <c r="E1197" s="18">
        <v>0.8517</v>
      </c>
      <c r="F1197" s="18">
        <v>0.1234</v>
      </c>
      <c r="G1197" s="16">
        <v>3909029.85</v>
      </c>
      <c r="H1197" s="16">
        <v>4686347.96</v>
      </c>
      <c r="I1197" s="7" t="s">
        <v>125</v>
      </c>
    </row>
    <row r="1198" ht="15" customHeight="1">
      <c r="A1198" s="8">
        <v>1196</v>
      </c>
      <c r="B1198" s="19">
        <v>0.5177</v>
      </c>
      <c r="C1198" s="19">
        <v>0.6619</v>
      </c>
      <c r="D1198" s="17">
        <v>38537.2</v>
      </c>
      <c r="E1198" s="19">
        <v>0.8668</v>
      </c>
      <c r="F1198" s="19">
        <v>0.0641</v>
      </c>
      <c r="G1198" s="17">
        <v>558140.73</v>
      </c>
      <c r="H1198" s="17">
        <v>724555.78</v>
      </c>
      <c r="I1198" s="8" t="s">
        <v>125</v>
      </c>
    </row>
    <row r="1199" ht="15" customHeight="1">
      <c r="A1199" s="7">
        <v>1197</v>
      </c>
      <c r="B1199" s="18">
        <v>0.6066</v>
      </c>
      <c r="C1199" s="18">
        <v>0.9952</v>
      </c>
      <c r="D1199" s="16">
        <v>31761.3</v>
      </c>
      <c r="E1199" s="18">
        <v>0.8261</v>
      </c>
      <c r="F1199" s="18">
        <v>0.0741</v>
      </c>
      <c r="G1199" s="16">
        <v>2235591.98</v>
      </c>
      <c r="H1199" s="16">
        <v>2698760.02</v>
      </c>
      <c r="I1199" s="7" t="s">
        <v>125</v>
      </c>
    </row>
    <row r="1200" ht="15" customHeight="1">
      <c r="A1200" s="8">
        <v>1198</v>
      </c>
      <c r="B1200" s="19">
        <v>0.6475</v>
      </c>
      <c r="C1200" s="19">
        <v>1.0984</v>
      </c>
      <c r="D1200" s="17">
        <v>28050.92</v>
      </c>
      <c r="E1200" s="19">
        <v>0.8628</v>
      </c>
      <c r="F1200" s="19">
        <v>0.0525</v>
      </c>
      <c r="G1200" s="17">
        <v>3046358.02</v>
      </c>
      <c r="H1200" s="17">
        <v>3644049.84</v>
      </c>
      <c r="I1200" s="8" t="s">
        <v>125</v>
      </c>
    </row>
    <row r="1201" ht="15" customHeight="1">
      <c r="A1201" s="7">
        <v>1199</v>
      </c>
      <c r="B1201" s="18">
        <v>0.6888</v>
      </c>
      <c r="C1201" s="18">
        <v>1.0825</v>
      </c>
      <c r="D1201" s="16">
        <v>25603.19</v>
      </c>
      <c r="E1201" s="18">
        <v>0.8652</v>
      </c>
      <c r="F1201" s="18">
        <v>0.0865</v>
      </c>
      <c r="G1201" s="16">
        <v>3548134.27</v>
      </c>
      <c r="H1201" s="16">
        <v>4246893.01</v>
      </c>
      <c r="I1201" s="7" t="s">
        <v>125</v>
      </c>
    </row>
    <row r="1202" ht="15" customHeight="1">
      <c r="A1202" s="8">
        <v>1200</v>
      </c>
      <c r="B1202" s="19">
        <v>0.4813</v>
      </c>
      <c r="C1202" s="19">
        <v>0.9328</v>
      </c>
      <c r="D1202" s="17">
        <v>30674.7</v>
      </c>
      <c r="E1202" s="19">
        <v>0.8641</v>
      </c>
      <c r="F1202" s="19">
        <v>0.1768</v>
      </c>
      <c r="G1202" s="17">
        <v>1875705.19</v>
      </c>
      <c r="H1202" s="17">
        <v>2301792.02</v>
      </c>
      <c r="I1202" s="8" t="s">
        <v>125</v>
      </c>
    </row>
    <row r="1203" ht="15" customHeight="1">
      <c r="A1203" s="7">
        <v>1201</v>
      </c>
      <c r="B1203" s="18">
        <v>0.3728</v>
      </c>
      <c r="C1203" s="18">
        <v>1.1562</v>
      </c>
      <c r="D1203" s="16">
        <v>26484.8</v>
      </c>
      <c r="E1203" s="18">
        <v>0.9032</v>
      </c>
      <c r="F1203" s="18">
        <v>0.1219</v>
      </c>
      <c r="G1203" s="16">
        <v>1798267.64</v>
      </c>
      <c r="H1203" s="16">
        <v>2195012.88</v>
      </c>
      <c r="I1203" s="7" t="s">
        <v>125</v>
      </c>
    </row>
    <row r="1204" ht="15" customHeight="1">
      <c r="A1204" s="8">
        <v>1202</v>
      </c>
      <c r="B1204" s="19">
        <v>0.5003</v>
      </c>
      <c r="C1204" s="19">
        <v>1.2689</v>
      </c>
      <c r="D1204" s="17">
        <v>22694.11</v>
      </c>
      <c r="E1204" s="19">
        <v>0.929</v>
      </c>
      <c r="F1204" s="19">
        <v>0.0909</v>
      </c>
      <c r="G1204" s="17">
        <v>3260700.37</v>
      </c>
      <c r="H1204" s="17">
        <v>3909290.38</v>
      </c>
      <c r="I1204" s="8" t="s">
        <v>125</v>
      </c>
    </row>
    <row r="1205" ht="15" customHeight="1">
      <c r="A1205" s="7">
        <v>1203</v>
      </c>
      <c r="B1205" s="18">
        <v>0.7825</v>
      </c>
      <c r="C1205" s="18">
        <v>1.0323</v>
      </c>
      <c r="D1205" s="16">
        <v>38659.91</v>
      </c>
      <c r="E1205" s="18">
        <v>0.8546</v>
      </c>
      <c r="F1205" s="18">
        <v>0.0626</v>
      </c>
      <c r="G1205" s="16">
        <v>3317434.88</v>
      </c>
      <c r="H1205" s="16">
        <v>3968302.21</v>
      </c>
      <c r="I1205" s="7" t="s">
        <v>125</v>
      </c>
    </row>
    <row r="1206" ht="15" customHeight="1">
      <c r="A1206" s="8">
        <v>1204</v>
      </c>
      <c r="B1206" s="19">
        <v>0.4273</v>
      </c>
      <c r="C1206" s="19">
        <v>0.8555</v>
      </c>
      <c r="D1206" s="17">
        <v>30868.84</v>
      </c>
      <c r="E1206" s="19">
        <v>0.8287</v>
      </c>
      <c r="F1206" s="19">
        <v>0.0743</v>
      </c>
      <c r="G1206" s="17">
        <v>865426.36</v>
      </c>
      <c r="H1206" s="17">
        <v>1086411.83</v>
      </c>
      <c r="I1206" s="8" t="s">
        <v>125</v>
      </c>
    </row>
    <row r="1207" ht="15" customHeight="1">
      <c r="A1207" s="7">
        <v>1205</v>
      </c>
      <c r="B1207" s="18">
        <v>0.5562</v>
      </c>
      <c r="C1207" s="18">
        <v>0.9594</v>
      </c>
      <c r="D1207" s="16">
        <v>29774.55</v>
      </c>
      <c r="E1207" s="18">
        <v>0.8796</v>
      </c>
      <c r="F1207" s="18">
        <v>0.0567</v>
      </c>
      <c r="G1207" s="16">
        <v>2010151.34</v>
      </c>
      <c r="H1207" s="16">
        <v>2428184.08</v>
      </c>
      <c r="I1207" s="7" t="s">
        <v>125</v>
      </c>
    </row>
    <row r="1208" ht="15" customHeight="1">
      <c r="A1208" s="8">
        <v>1206</v>
      </c>
      <c r="B1208" s="19">
        <v>0.6163</v>
      </c>
      <c r="C1208" s="19">
        <v>1.2824</v>
      </c>
      <c r="D1208" s="17">
        <v>25550.51</v>
      </c>
      <c r="E1208" s="19">
        <v>0.944</v>
      </c>
      <c r="F1208" s="19">
        <v>0.1033</v>
      </c>
      <c r="G1208" s="17">
        <v>4404603.25</v>
      </c>
      <c r="H1208" s="17">
        <v>5263370.51</v>
      </c>
      <c r="I1208" s="8" t="s">
        <v>125</v>
      </c>
    </row>
    <row r="1209" ht="15" customHeight="1">
      <c r="A1209" s="7">
        <v>1207</v>
      </c>
      <c r="B1209" s="18">
        <v>0.5112</v>
      </c>
      <c r="C1209" s="18">
        <v>0.9907</v>
      </c>
      <c r="D1209" s="16">
        <v>32236.4</v>
      </c>
      <c r="E1209" s="18">
        <v>0.8783</v>
      </c>
      <c r="F1209" s="18">
        <v>0.1143</v>
      </c>
      <c r="G1209" s="16">
        <v>2010009.38</v>
      </c>
      <c r="H1209" s="16">
        <v>2444778.33</v>
      </c>
      <c r="I1209" s="7" t="s">
        <v>125</v>
      </c>
    </row>
    <row r="1210" ht="15" customHeight="1">
      <c r="A1210" s="8">
        <v>1208</v>
      </c>
      <c r="B1210" s="19">
        <v>0.6852</v>
      </c>
      <c r="C1210" s="19">
        <v>1.3441</v>
      </c>
      <c r="D1210" s="17">
        <v>30880.19</v>
      </c>
      <c r="E1210" s="19">
        <v>0.95</v>
      </c>
      <c r="F1210" s="19">
        <v>0.0665</v>
      </c>
      <c r="G1210" s="17">
        <v>4887011.6</v>
      </c>
      <c r="H1210" s="17">
        <v>5814356.17</v>
      </c>
      <c r="I1210" s="8" t="s">
        <v>125</v>
      </c>
    </row>
    <row r="1211" ht="15" customHeight="1">
      <c r="A1211" s="7">
        <v>1209</v>
      </c>
      <c r="B1211" s="18">
        <v>0.5737</v>
      </c>
      <c r="C1211" s="18">
        <v>0.9871</v>
      </c>
      <c r="D1211" s="16">
        <v>31805.54</v>
      </c>
      <c r="E1211" s="18">
        <v>0.8979</v>
      </c>
      <c r="F1211" s="18">
        <v>0.1114</v>
      </c>
      <c r="G1211" s="16">
        <v>2488114.82</v>
      </c>
      <c r="H1211" s="16">
        <v>3007915.24</v>
      </c>
      <c r="I1211" s="7" t="s">
        <v>125</v>
      </c>
    </row>
    <row r="1212" ht="15" customHeight="1">
      <c r="A1212" s="8">
        <v>1210</v>
      </c>
      <c r="B1212" s="19">
        <v>0.6858</v>
      </c>
      <c r="C1212" s="19">
        <v>0.7871</v>
      </c>
      <c r="D1212" s="17">
        <v>31817.32</v>
      </c>
      <c r="E1212" s="19">
        <v>0.8439</v>
      </c>
      <c r="F1212" s="19">
        <v>0.0368</v>
      </c>
      <c r="G1212" s="17">
        <v>1766646.48</v>
      </c>
      <c r="H1212" s="17">
        <v>2136931.91</v>
      </c>
      <c r="I1212" s="8" t="s">
        <v>125</v>
      </c>
    </row>
    <row r="1213" ht="15" customHeight="1">
      <c r="A1213" s="7">
        <v>1211</v>
      </c>
      <c r="B1213" s="18">
        <v>0.5142</v>
      </c>
      <c r="C1213" s="18">
        <v>0.8508</v>
      </c>
      <c r="D1213" s="16">
        <v>26056.13</v>
      </c>
      <c r="E1213" s="18">
        <v>0.8611</v>
      </c>
      <c r="F1213" s="18">
        <v>0.1056</v>
      </c>
      <c r="G1213" s="16">
        <v>1654472.53</v>
      </c>
      <c r="H1213" s="16">
        <v>2021312.24</v>
      </c>
      <c r="I1213" s="7" t="s">
        <v>125</v>
      </c>
    </row>
    <row r="1214" ht="15" customHeight="1">
      <c r="A1214" s="8">
        <v>1212</v>
      </c>
      <c r="B1214" s="19">
        <v>0.5246</v>
      </c>
      <c r="C1214" s="19">
        <v>1.1151</v>
      </c>
      <c r="D1214" s="17">
        <v>33239.67</v>
      </c>
      <c r="E1214" s="19">
        <v>0.8939</v>
      </c>
      <c r="F1214" s="19">
        <v>0.0702</v>
      </c>
      <c r="G1214" s="17">
        <v>2343941.01</v>
      </c>
      <c r="H1214" s="17">
        <v>2825310.4</v>
      </c>
      <c r="I1214" s="8" t="s">
        <v>125</v>
      </c>
    </row>
    <row r="1215" ht="15" customHeight="1">
      <c r="A1215" s="7">
        <v>1213</v>
      </c>
      <c r="B1215" s="18">
        <v>0.5298</v>
      </c>
      <c r="C1215" s="18">
        <v>1.0558</v>
      </c>
      <c r="D1215" s="16">
        <v>28474.06</v>
      </c>
      <c r="E1215" s="18">
        <v>0.8544</v>
      </c>
      <c r="F1215" s="18">
        <v>0.137</v>
      </c>
      <c r="G1215" s="16">
        <v>2483381.94</v>
      </c>
      <c r="H1215" s="16">
        <v>3009136.04</v>
      </c>
      <c r="I1215" s="7" t="s">
        <v>125</v>
      </c>
    </row>
    <row r="1216" ht="15" customHeight="1">
      <c r="A1216" s="8">
        <v>1214</v>
      </c>
      <c r="B1216" s="19">
        <v>0.4995</v>
      </c>
      <c r="C1216" s="19">
        <v>1.3117</v>
      </c>
      <c r="D1216" s="17">
        <v>23484.81</v>
      </c>
      <c r="E1216" s="19">
        <v>0.9618</v>
      </c>
      <c r="F1216" s="19">
        <v>0.1119</v>
      </c>
      <c r="G1216" s="17">
        <v>3661234.33</v>
      </c>
      <c r="H1216" s="17">
        <v>4389683</v>
      </c>
      <c r="I1216" s="8" t="s">
        <v>125</v>
      </c>
    </row>
    <row r="1217" ht="15" customHeight="1">
      <c r="A1217" s="7">
        <v>1215</v>
      </c>
      <c r="B1217" s="18">
        <v>0.3692</v>
      </c>
      <c r="C1217" s="18">
        <v>0.9895</v>
      </c>
      <c r="D1217" s="16">
        <v>37302.85</v>
      </c>
      <c r="E1217" s="18">
        <v>0.8701</v>
      </c>
      <c r="F1217" s="18">
        <v>0.1316</v>
      </c>
      <c r="G1217" s="16">
        <v>952106.41</v>
      </c>
      <c r="H1217" s="16">
        <v>1201440.87</v>
      </c>
      <c r="I1217" s="7" t="s">
        <v>125</v>
      </c>
    </row>
    <row r="1218" ht="15" customHeight="1">
      <c r="A1218" s="8">
        <v>1216</v>
      </c>
      <c r="B1218" s="19">
        <v>0.6222</v>
      </c>
      <c r="C1218" s="19">
        <v>1.1504</v>
      </c>
      <c r="D1218" s="17">
        <v>26804.93</v>
      </c>
      <c r="E1218" s="19">
        <v>0.9386</v>
      </c>
      <c r="F1218" s="19">
        <v>0.0666</v>
      </c>
      <c r="G1218" s="17">
        <v>3577339.46</v>
      </c>
      <c r="H1218" s="17">
        <v>4273476.68</v>
      </c>
      <c r="I1218" s="8" t="s">
        <v>125</v>
      </c>
    </row>
    <row r="1219" ht="15" customHeight="1">
      <c r="A1219" s="7">
        <v>1217</v>
      </c>
      <c r="B1219" s="18">
        <v>0.6914</v>
      </c>
      <c r="C1219" s="18">
        <v>0.9712</v>
      </c>
      <c r="D1219" s="16">
        <v>25814.04</v>
      </c>
      <c r="E1219" s="18">
        <v>0.9467</v>
      </c>
      <c r="F1219" s="18">
        <v>0.0941</v>
      </c>
      <c r="G1219" s="16">
        <v>3519763.92</v>
      </c>
      <c r="H1219" s="16">
        <v>4216517.22</v>
      </c>
      <c r="I1219" s="7" t="s">
        <v>125</v>
      </c>
    </row>
    <row r="1220" ht="15" customHeight="1">
      <c r="A1220" s="8">
        <v>1218</v>
      </c>
      <c r="B1220" s="19">
        <v>0.7586</v>
      </c>
      <c r="C1220" s="19">
        <v>0.7788</v>
      </c>
      <c r="D1220" s="17">
        <v>28312.59</v>
      </c>
      <c r="E1220" s="19">
        <v>0.9185</v>
      </c>
      <c r="F1220" s="19">
        <v>0.1187</v>
      </c>
      <c r="G1220" s="17">
        <v>2891076.93</v>
      </c>
      <c r="H1220" s="17">
        <v>3484761.09</v>
      </c>
      <c r="I1220" s="8" t="s">
        <v>125</v>
      </c>
    </row>
    <row r="1221" ht="15" customHeight="1">
      <c r="A1221" s="7">
        <v>1219</v>
      </c>
      <c r="B1221" s="18">
        <v>0.4839</v>
      </c>
      <c r="C1221" s="18">
        <v>0.8983</v>
      </c>
      <c r="D1221" s="16">
        <v>27182.55</v>
      </c>
      <c r="E1221" s="18">
        <v>0.9204</v>
      </c>
      <c r="F1221" s="18">
        <v>0.0883</v>
      </c>
      <c r="G1221" s="16">
        <v>1726541.69</v>
      </c>
      <c r="H1221" s="16">
        <v>2102379.72</v>
      </c>
      <c r="I1221" s="7" t="s">
        <v>125</v>
      </c>
    </row>
    <row r="1222" ht="15" customHeight="1">
      <c r="A1222" s="8">
        <v>1220</v>
      </c>
      <c r="B1222" s="19">
        <v>0.5718</v>
      </c>
      <c r="C1222" s="19">
        <v>0.824</v>
      </c>
      <c r="D1222" s="17">
        <v>22797.55</v>
      </c>
      <c r="E1222" s="19">
        <v>0.9541</v>
      </c>
      <c r="F1222" s="19">
        <v>0.0576</v>
      </c>
      <c r="G1222" s="17">
        <v>2090481.81</v>
      </c>
      <c r="H1222" s="17">
        <v>2521738.99</v>
      </c>
      <c r="I1222" s="8" t="s">
        <v>125</v>
      </c>
    </row>
    <row r="1223" ht="15" customHeight="1">
      <c r="A1223" s="7">
        <v>1221</v>
      </c>
      <c r="B1223" s="18">
        <v>0.7769</v>
      </c>
      <c r="C1223" s="18">
        <v>1.0186</v>
      </c>
      <c r="D1223" s="16">
        <v>25703.24</v>
      </c>
      <c r="E1223" s="18">
        <v>0.844</v>
      </c>
      <c r="F1223" s="18">
        <v>0.1509</v>
      </c>
      <c r="G1223" s="16">
        <v>4136921.12</v>
      </c>
      <c r="H1223" s="16">
        <v>4968383.64</v>
      </c>
      <c r="I1223" s="7" t="s">
        <v>125</v>
      </c>
    </row>
    <row r="1224" ht="15" customHeight="1">
      <c r="A1224" s="8">
        <v>1222</v>
      </c>
      <c r="B1224" s="19">
        <v>0.4982</v>
      </c>
      <c r="C1224" s="19">
        <v>0.8753</v>
      </c>
      <c r="D1224" s="17">
        <v>31126.01</v>
      </c>
      <c r="E1224" s="19">
        <v>0.8941</v>
      </c>
      <c r="F1224" s="19">
        <v>0.1238</v>
      </c>
      <c r="G1224" s="17">
        <v>1667258.44</v>
      </c>
      <c r="H1224" s="17">
        <v>2042325.42</v>
      </c>
      <c r="I1224" s="8" t="s">
        <v>125</v>
      </c>
    </row>
    <row r="1225" ht="15" customHeight="1">
      <c r="A1225" s="7">
        <v>1223</v>
      </c>
      <c r="B1225" s="18">
        <v>0.7494</v>
      </c>
      <c r="C1225" s="18">
        <v>1.0728</v>
      </c>
      <c r="D1225" s="16">
        <v>31968.96</v>
      </c>
      <c r="E1225" s="18">
        <v>0.8682</v>
      </c>
      <c r="F1225" s="18">
        <v>0.0953</v>
      </c>
      <c r="G1225" s="16">
        <v>3795870.23</v>
      </c>
      <c r="H1225" s="16">
        <v>4543969.65</v>
      </c>
      <c r="I1225" s="7" t="s">
        <v>125</v>
      </c>
    </row>
    <row r="1226" ht="15" customHeight="1">
      <c r="A1226" s="8">
        <v>1224</v>
      </c>
      <c r="B1226" s="19">
        <v>0.7296</v>
      </c>
      <c r="C1226" s="19">
        <v>1.1276</v>
      </c>
      <c r="D1226" s="17">
        <v>34697.62</v>
      </c>
      <c r="E1226" s="19">
        <v>0.8575</v>
      </c>
      <c r="F1226" s="19">
        <v>0.021</v>
      </c>
      <c r="G1226" s="17">
        <v>3273556.91</v>
      </c>
      <c r="H1226" s="17">
        <v>3898798.59</v>
      </c>
      <c r="I1226" s="8" t="s">
        <v>125</v>
      </c>
    </row>
    <row r="1227" ht="15" customHeight="1">
      <c r="A1227" s="7">
        <v>1225</v>
      </c>
      <c r="B1227" s="18">
        <v>0.6619</v>
      </c>
      <c r="C1227" s="18">
        <v>1.1204</v>
      </c>
      <c r="D1227" s="16">
        <v>19277.24</v>
      </c>
      <c r="E1227" s="18">
        <v>0.8129</v>
      </c>
      <c r="F1227" s="18">
        <v>0.0967</v>
      </c>
      <c r="G1227" s="16">
        <v>3495325.1</v>
      </c>
      <c r="H1227" s="16">
        <v>4187041.33</v>
      </c>
      <c r="I1227" s="7" t="s">
        <v>125</v>
      </c>
    </row>
    <row r="1228" ht="15" customHeight="1">
      <c r="A1228" s="8">
        <v>1226</v>
      </c>
      <c r="B1228" s="19">
        <v>0.5126</v>
      </c>
      <c r="C1228" s="19">
        <v>0.9495</v>
      </c>
      <c r="D1228" s="17">
        <v>34528.56</v>
      </c>
      <c r="E1228" s="19">
        <v>0.9357</v>
      </c>
      <c r="F1228" s="19">
        <v>0.0985</v>
      </c>
      <c r="G1228" s="17">
        <v>1948125.62</v>
      </c>
      <c r="H1228" s="17">
        <v>2368038.58</v>
      </c>
      <c r="I1228" s="8" t="s">
        <v>125</v>
      </c>
    </row>
    <row r="1229" ht="15" customHeight="1">
      <c r="A1229" s="7">
        <v>1227</v>
      </c>
      <c r="B1229" s="18">
        <v>0.5911</v>
      </c>
      <c r="C1229" s="18">
        <v>0.9594</v>
      </c>
      <c r="D1229" s="16">
        <v>29416.21</v>
      </c>
      <c r="E1229" s="18">
        <v>0.9495</v>
      </c>
      <c r="F1229" s="18">
        <v>-0.0382</v>
      </c>
      <c r="G1229" s="16">
        <v>2043774.84</v>
      </c>
      <c r="H1229" s="16">
        <v>2439206.81</v>
      </c>
      <c r="I1229" s="7" t="s">
        <v>125</v>
      </c>
    </row>
    <row r="1230" ht="15" customHeight="1">
      <c r="A1230" s="8">
        <v>1228</v>
      </c>
      <c r="B1230" s="19">
        <v>0.5718</v>
      </c>
      <c r="C1230" s="19">
        <v>0.7942</v>
      </c>
      <c r="D1230" s="17">
        <v>23722.53</v>
      </c>
      <c r="E1230" s="19">
        <v>0.9285</v>
      </c>
      <c r="F1230" s="19">
        <v>0.1244</v>
      </c>
      <c r="G1230" s="17">
        <v>2139530.41</v>
      </c>
      <c r="H1230" s="17">
        <v>2597689.25</v>
      </c>
      <c r="I1230" s="8" t="s">
        <v>125</v>
      </c>
    </row>
    <row r="1231" ht="15" customHeight="1">
      <c r="A1231" s="7">
        <v>1229</v>
      </c>
      <c r="B1231" s="18">
        <v>0.6043</v>
      </c>
      <c r="C1231" s="18">
        <v>1.0047</v>
      </c>
      <c r="D1231" s="16">
        <v>27295.25</v>
      </c>
      <c r="E1231" s="18">
        <v>0.9325</v>
      </c>
      <c r="F1231" s="18">
        <v>0.1324</v>
      </c>
      <c r="G1231" s="16">
        <v>3177646.42</v>
      </c>
      <c r="H1231" s="16">
        <v>3827632.87</v>
      </c>
      <c r="I1231" s="7" t="s">
        <v>125</v>
      </c>
    </row>
    <row r="1232" ht="15" customHeight="1">
      <c r="A1232" s="8">
        <v>1230</v>
      </c>
      <c r="B1232" s="19">
        <v>0.5208</v>
      </c>
      <c r="C1232" s="19">
        <v>1.2156</v>
      </c>
      <c r="D1232" s="17">
        <v>31865.58</v>
      </c>
      <c r="E1232" s="19">
        <v>0.8962</v>
      </c>
      <c r="F1232" s="19">
        <v>0.1665</v>
      </c>
      <c r="G1232" s="17">
        <v>3243771.99</v>
      </c>
      <c r="H1232" s="17">
        <v>3919894.58</v>
      </c>
      <c r="I1232" s="8" t="s">
        <v>125</v>
      </c>
    </row>
    <row r="1233" ht="15" customHeight="1">
      <c r="A1233" s="7">
        <v>1231</v>
      </c>
      <c r="B1233" s="18">
        <v>0.5267</v>
      </c>
      <c r="C1233" s="18">
        <v>1.0635</v>
      </c>
      <c r="D1233" s="16">
        <v>35633.21</v>
      </c>
      <c r="E1233" s="18">
        <v>0.9252</v>
      </c>
      <c r="F1233" s="18">
        <v>0.1093</v>
      </c>
      <c r="G1233" s="16">
        <v>2432917.84</v>
      </c>
      <c r="H1233" s="16">
        <v>2943277.53</v>
      </c>
      <c r="I1233" s="7" t="s">
        <v>125</v>
      </c>
    </row>
    <row r="1234" ht="15" customHeight="1">
      <c r="A1234" s="8">
        <v>1232</v>
      </c>
      <c r="B1234" s="19">
        <v>0.5533</v>
      </c>
      <c r="C1234" s="19">
        <v>1.0493</v>
      </c>
      <c r="D1234" s="17">
        <v>21489.76</v>
      </c>
      <c r="E1234" s="19">
        <v>0.8138</v>
      </c>
      <c r="F1234" s="19">
        <v>0.1172</v>
      </c>
      <c r="G1234" s="17">
        <v>2562307.35</v>
      </c>
      <c r="H1234" s="17">
        <v>3094083.7</v>
      </c>
      <c r="I1234" s="8" t="s">
        <v>125</v>
      </c>
    </row>
    <row r="1235" ht="15" customHeight="1">
      <c r="A1235" s="7">
        <v>1233</v>
      </c>
      <c r="B1235" s="18">
        <v>0.6951</v>
      </c>
      <c r="C1235" s="18">
        <v>0.9522</v>
      </c>
      <c r="D1235" s="16">
        <v>21618.1</v>
      </c>
      <c r="E1235" s="18">
        <v>0.8399</v>
      </c>
      <c r="F1235" s="18">
        <v>0.0755</v>
      </c>
      <c r="G1235" s="16">
        <v>2964620.86</v>
      </c>
      <c r="H1235" s="16">
        <v>3555024.97</v>
      </c>
      <c r="I1235" s="7" t="s">
        <v>125</v>
      </c>
    </row>
    <row r="1236" ht="15" customHeight="1">
      <c r="A1236" s="8">
        <v>1234</v>
      </c>
      <c r="B1236" s="19">
        <v>0.6867</v>
      </c>
      <c r="C1236" s="19">
        <v>0.7462</v>
      </c>
      <c r="D1236" s="17">
        <v>26937.01</v>
      </c>
      <c r="E1236" s="19">
        <v>0.8993</v>
      </c>
      <c r="F1236" s="19">
        <v>0.066</v>
      </c>
      <c r="G1236" s="17">
        <v>2077948.47</v>
      </c>
      <c r="H1236" s="17">
        <v>2510037.87</v>
      </c>
      <c r="I1236" s="8" t="s">
        <v>125</v>
      </c>
    </row>
    <row r="1237" ht="15" customHeight="1">
      <c r="A1237" s="7">
        <v>1235</v>
      </c>
      <c r="B1237" s="18">
        <v>0.4992</v>
      </c>
      <c r="C1237" s="18">
        <v>0.927</v>
      </c>
      <c r="D1237" s="16">
        <v>22760.54</v>
      </c>
      <c r="E1237" s="18">
        <v>0.8818</v>
      </c>
      <c r="F1237" s="18">
        <v>0.0795</v>
      </c>
      <c r="G1237" s="16">
        <v>1886079.25</v>
      </c>
      <c r="H1237" s="16">
        <v>2287047.09</v>
      </c>
      <c r="I1237" s="7" t="s">
        <v>125</v>
      </c>
    </row>
    <row r="1238" ht="15" customHeight="1">
      <c r="A1238" s="8">
        <v>1236</v>
      </c>
      <c r="B1238" s="19">
        <v>0.4248</v>
      </c>
      <c r="C1238" s="19">
        <v>1.1358</v>
      </c>
      <c r="D1238" s="17">
        <v>29614.51</v>
      </c>
      <c r="E1238" s="19">
        <v>0.9257</v>
      </c>
      <c r="F1238" s="19">
        <v>0.0593</v>
      </c>
      <c r="G1238" s="17">
        <v>1867119.53</v>
      </c>
      <c r="H1238" s="17">
        <v>2260776.07</v>
      </c>
      <c r="I1238" s="8" t="s">
        <v>125</v>
      </c>
    </row>
    <row r="1239" ht="15" customHeight="1">
      <c r="A1239" s="7">
        <v>1237</v>
      </c>
      <c r="B1239" s="18">
        <v>0.8153</v>
      </c>
      <c r="C1239" s="18">
        <v>0.8695</v>
      </c>
      <c r="D1239" s="16">
        <v>34474.47</v>
      </c>
      <c r="E1239" s="18">
        <v>0.8614</v>
      </c>
      <c r="F1239" s="18">
        <v>0.1212</v>
      </c>
      <c r="G1239" s="16">
        <v>3232484.51</v>
      </c>
      <c r="H1239" s="16">
        <v>3890678.02</v>
      </c>
      <c r="I1239" s="7" t="s">
        <v>125</v>
      </c>
    </row>
    <row r="1240" ht="15" customHeight="1">
      <c r="A1240" s="8">
        <v>1238</v>
      </c>
      <c r="B1240" s="19">
        <v>0.8066</v>
      </c>
      <c r="C1240" s="19">
        <v>0.9211</v>
      </c>
      <c r="D1240" s="17">
        <v>25158.17</v>
      </c>
      <c r="E1240" s="19">
        <v>0.8572</v>
      </c>
      <c r="F1240" s="19">
        <v>0.1294</v>
      </c>
      <c r="G1240" s="17">
        <v>3769820.46</v>
      </c>
      <c r="H1240" s="17">
        <v>4525346.82</v>
      </c>
      <c r="I1240" s="8" t="s">
        <v>125</v>
      </c>
    </row>
    <row r="1241" ht="15" customHeight="1">
      <c r="A1241" s="7">
        <v>1239</v>
      </c>
      <c r="B1241" s="18">
        <v>0.413</v>
      </c>
      <c r="C1241" s="18">
        <v>0.9536</v>
      </c>
      <c r="D1241" s="16">
        <v>30400.04</v>
      </c>
      <c r="E1241" s="18">
        <v>0.8683</v>
      </c>
      <c r="F1241" s="18">
        <v>0.081</v>
      </c>
      <c r="G1241" s="16">
        <v>1180583.15</v>
      </c>
      <c r="H1241" s="16">
        <v>1458559.59</v>
      </c>
      <c r="I1241" s="7" t="s">
        <v>125</v>
      </c>
    </row>
    <row r="1242" ht="15" customHeight="1">
      <c r="A1242" s="8">
        <v>1240</v>
      </c>
      <c r="B1242" s="19">
        <v>0.3964</v>
      </c>
      <c r="C1242" s="19">
        <v>1.2144</v>
      </c>
      <c r="D1242" s="17">
        <v>27036.4</v>
      </c>
      <c r="E1242" s="19">
        <v>0.8985</v>
      </c>
      <c r="F1242" s="19">
        <v>0.1609</v>
      </c>
      <c r="G1242" s="17">
        <v>2280377.33</v>
      </c>
      <c r="H1242" s="17">
        <v>2775327.14</v>
      </c>
      <c r="I1242" s="8" t="s">
        <v>125</v>
      </c>
    </row>
    <row r="1243" ht="15" customHeight="1">
      <c r="A1243" s="7">
        <v>1241</v>
      </c>
      <c r="B1243" s="18">
        <v>0.3526</v>
      </c>
      <c r="C1243" s="18">
        <v>1.2538</v>
      </c>
      <c r="D1243" s="16">
        <v>26563.95</v>
      </c>
      <c r="E1243" s="18">
        <v>0.9014</v>
      </c>
      <c r="F1243" s="18">
        <v>0.1086</v>
      </c>
      <c r="G1243" s="16">
        <v>1813208.5</v>
      </c>
      <c r="H1243" s="16">
        <v>2209417.19</v>
      </c>
      <c r="I1243" s="7" t="s">
        <v>125</v>
      </c>
    </row>
    <row r="1244" ht="15" customHeight="1">
      <c r="A1244" s="8">
        <v>1242</v>
      </c>
      <c r="B1244" s="19">
        <v>0.6837</v>
      </c>
      <c r="C1244" s="19">
        <v>0.7941</v>
      </c>
      <c r="D1244" s="17">
        <v>21449.68</v>
      </c>
      <c r="E1244" s="19">
        <v>0.84</v>
      </c>
      <c r="F1244" s="19">
        <v>0.1779</v>
      </c>
      <c r="G1244" s="17">
        <v>2720750.56</v>
      </c>
      <c r="H1244" s="17">
        <v>3299299.26</v>
      </c>
      <c r="I1244" s="8" t="s">
        <v>125</v>
      </c>
    </row>
    <row r="1245" ht="15" customHeight="1">
      <c r="A1245" s="7">
        <v>1243</v>
      </c>
      <c r="B1245" s="18">
        <v>0.6654</v>
      </c>
      <c r="C1245" s="18">
        <v>1.0086</v>
      </c>
      <c r="D1245" s="16">
        <v>25920.16</v>
      </c>
      <c r="E1245" s="18">
        <v>0.7897</v>
      </c>
      <c r="F1245" s="18">
        <v>0.0953</v>
      </c>
      <c r="G1245" s="16">
        <v>2747417.31</v>
      </c>
      <c r="H1245" s="16">
        <v>3306857.36</v>
      </c>
      <c r="I1245" s="7" t="s">
        <v>125</v>
      </c>
    </row>
    <row r="1246" ht="15" customHeight="1">
      <c r="A1246" s="8">
        <v>1244</v>
      </c>
      <c r="B1246" s="19">
        <v>0.661</v>
      </c>
      <c r="C1246" s="19">
        <v>1.0324</v>
      </c>
      <c r="D1246" s="17">
        <v>24604.26</v>
      </c>
      <c r="E1246" s="19">
        <v>0.8866</v>
      </c>
      <c r="F1246" s="19">
        <v>0.0854</v>
      </c>
      <c r="G1246" s="17">
        <v>3281558.13</v>
      </c>
      <c r="H1246" s="17">
        <v>3932284.27</v>
      </c>
      <c r="I1246" s="8" t="s">
        <v>125</v>
      </c>
    </row>
    <row r="1247" ht="15" customHeight="1">
      <c r="A1247" s="7">
        <v>1245</v>
      </c>
      <c r="B1247" s="18">
        <v>0.5406</v>
      </c>
      <c r="C1247" s="18">
        <v>0.9107</v>
      </c>
      <c r="D1247" s="16">
        <v>37586.19</v>
      </c>
      <c r="E1247" s="18">
        <v>0.9275</v>
      </c>
      <c r="F1247" s="18">
        <v>0.0725</v>
      </c>
      <c r="G1247" s="16">
        <v>1749294.73</v>
      </c>
      <c r="H1247" s="16">
        <v>2127288.3</v>
      </c>
      <c r="I1247" s="7" t="s">
        <v>125</v>
      </c>
    </row>
    <row r="1248" ht="15" customHeight="1">
      <c r="A1248" s="8">
        <v>1246</v>
      </c>
      <c r="B1248" s="19">
        <v>0.5746</v>
      </c>
      <c r="C1248" s="19">
        <v>1.0894</v>
      </c>
      <c r="D1248" s="17">
        <v>26340.49</v>
      </c>
      <c r="E1248" s="19">
        <v>0.9271</v>
      </c>
      <c r="F1248" s="19">
        <v>0.1515</v>
      </c>
      <c r="G1248" s="17">
        <v>3429452.57</v>
      </c>
      <c r="H1248" s="17">
        <v>4131900.99</v>
      </c>
      <c r="I1248" s="8" t="s">
        <v>125</v>
      </c>
    </row>
    <row r="1249" ht="15" customHeight="1">
      <c r="A1249" s="7">
        <v>1247</v>
      </c>
      <c r="B1249" s="18">
        <v>0.4679</v>
      </c>
      <c r="C1249" s="18">
        <v>0.9944</v>
      </c>
      <c r="D1249" s="16">
        <v>27516.31</v>
      </c>
      <c r="E1249" s="18">
        <v>0.8019</v>
      </c>
      <c r="F1249" s="18">
        <v>0.1102</v>
      </c>
      <c r="G1249" s="16">
        <v>1599585.81</v>
      </c>
      <c r="H1249" s="16">
        <v>1958074.66</v>
      </c>
      <c r="I1249" s="7" t="s">
        <v>125</v>
      </c>
    </row>
    <row r="1250" ht="15" customHeight="1">
      <c r="A1250" s="8">
        <v>1248</v>
      </c>
      <c r="B1250" s="19">
        <v>0.5133</v>
      </c>
      <c r="C1250" s="19">
        <v>0.677</v>
      </c>
      <c r="D1250" s="17">
        <v>30353.3</v>
      </c>
      <c r="E1250" s="19">
        <v>0.8755</v>
      </c>
      <c r="F1250" s="19">
        <v>0.0955</v>
      </c>
      <c r="G1250" s="17">
        <v>952637.95</v>
      </c>
      <c r="H1250" s="17">
        <v>1192960.89</v>
      </c>
      <c r="I1250" s="8" t="s">
        <v>125</v>
      </c>
    </row>
    <row r="1251" ht="15" customHeight="1">
      <c r="A1251" s="7">
        <v>1249</v>
      </c>
      <c r="B1251" s="18">
        <v>0.7576</v>
      </c>
      <c r="C1251" s="18">
        <v>1.1958</v>
      </c>
      <c r="D1251" s="16">
        <v>36259.95</v>
      </c>
      <c r="E1251" s="18">
        <v>0.9473</v>
      </c>
      <c r="F1251" s="18">
        <v>0.0677</v>
      </c>
      <c r="G1251" s="16">
        <v>4613922.7</v>
      </c>
      <c r="H1251" s="16">
        <v>5494817.04</v>
      </c>
      <c r="I1251" s="7" t="s">
        <v>125</v>
      </c>
    </row>
    <row r="1252" ht="15" customHeight="1">
      <c r="A1252" s="8">
        <v>1250</v>
      </c>
      <c r="B1252" s="19">
        <v>0.7153</v>
      </c>
      <c r="C1252" s="19">
        <v>1.2357</v>
      </c>
      <c r="D1252" s="17">
        <v>20066.55</v>
      </c>
      <c r="E1252" s="19">
        <v>0.8973</v>
      </c>
      <c r="F1252" s="19">
        <v>0.0704</v>
      </c>
      <c r="G1252" s="17">
        <v>4670999.94</v>
      </c>
      <c r="H1252" s="17">
        <v>5560262.5</v>
      </c>
      <c r="I1252" s="8" t="s">
        <v>125</v>
      </c>
    </row>
    <row r="1253" ht="15" customHeight="1">
      <c r="A1253" s="7">
        <v>1251</v>
      </c>
      <c r="B1253" s="18">
        <v>0.5138</v>
      </c>
      <c r="C1253" s="18">
        <v>1.0016</v>
      </c>
      <c r="D1253" s="16">
        <v>32850.04</v>
      </c>
      <c r="E1253" s="18">
        <v>0.9234</v>
      </c>
      <c r="F1253" s="18">
        <v>0.0555</v>
      </c>
      <c r="G1253" s="16">
        <v>1951018.15</v>
      </c>
      <c r="H1253" s="16">
        <v>2358809.12</v>
      </c>
      <c r="I1253" s="7" t="s">
        <v>125</v>
      </c>
    </row>
    <row r="1254" ht="15" customHeight="1">
      <c r="A1254" s="8">
        <v>1252</v>
      </c>
      <c r="B1254" s="19">
        <v>0.6818</v>
      </c>
      <c r="C1254" s="19">
        <v>1.1553</v>
      </c>
      <c r="D1254" s="17">
        <v>24922.05</v>
      </c>
      <c r="E1254" s="19">
        <v>0.8082</v>
      </c>
      <c r="F1254" s="19">
        <v>0.1263</v>
      </c>
      <c r="G1254" s="17">
        <v>3755816.59</v>
      </c>
      <c r="H1254" s="17">
        <v>4507485.24</v>
      </c>
      <c r="I1254" s="8" t="s">
        <v>125</v>
      </c>
    </row>
    <row r="1255" ht="15" customHeight="1">
      <c r="A1255" s="7">
        <v>1253</v>
      </c>
      <c r="B1255" s="18">
        <v>0.5768</v>
      </c>
      <c r="C1255" s="18">
        <v>0.795</v>
      </c>
      <c r="D1255" s="16">
        <v>18881.71</v>
      </c>
      <c r="E1255" s="18">
        <v>0.8436</v>
      </c>
      <c r="F1255" s="18">
        <v>0.1021</v>
      </c>
      <c r="G1255" s="16">
        <v>1937494.56</v>
      </c>
      <c r="H1255" s="16">
        <v>2352218.05</v>
      </c>
      <c r="I1255" s="7" t="s">
        <v>125</v>
      </c>
    </row>
    <row r="1256" ht="15" customHeight="1">
      <c r="A1256" s="8">
        <v>1254</v>
      </c>
      <c r="B1256" s="19">
        <v>0.5244</v>
      </c>
      <c r="C1256" s="19">
        <v>1.1319</v>
      </c>
      <c r="D1256" s="17">
        <v>22923.69</v>
      </c>
      <c r="E1256" s="19">
        <v>0.9288</v>
      </c>
      <c r="F1256" s="19">
        <v>0.1586</v>
      </c>
      <c r="G1256" s="17">
        <v>3345245.47</v>
      </c>
      <c r="H1256" s="17">
        <v>4033422.58</v>
      </c>
      <c r="I1256" s="8" t="s">
        <v>125</v>
      </c>
    </row>
    <row r="1257" ht="15" customHeight="1">
      <c r="A1257" s="7">
        <v>1255</v>
      </c>
      <c r="B1257" s="18">
        <v>0.5157</v>
      </c>
      <c r="C1257" s="18">
        <v>1.0662</v>
      </c>
      <c r="D1257" s="16">
        <v>27010.93</v>
      </c>
      <c r="E1257" s="18">
        <v>0.9572</v>
      </c>
      <c r="F1257" s="18">
        <v>0.0733</v>
      </c>
      <c r="G1257" s="16">
        <v>2575574.58</v>
      </c>
      <c r="H1257" s="16">
        <v>3097598.83</v>
      </c>
      <c r="I1257" s="7" t="s">
        <v>125</v>
      </c>
    </row>
    <row r="1258" ht="15" customHeight="1">
      <c r="A1258" s="8">
        <v>1256</v>
      </c>
      <c r="B1258" s="19">
        <v>0.751</v>
      </c>
      <c r="C1258" s="19">
        <v>0.8049</v>
      </c>
      <c r="D1258" s="17">
        <v>27416.01</v>
      </c>
      <c r="E1258" s="19">
        <v>0.9281</v>
      </c>
      <c r="F1258" s="19">
        <v>0.1179</v>
      </c>
      <c r="G1258" s="17">
        <v>3053857.12</v>
      </c>
      <c r="H1258" s="17">
        <v>3676374.9</v>
      </c>
      <c r="I1258" s="8" t="s">
        <v>125</v>
      </c>
    </row>
    <row r="1259" ht="15" customHeight="1">
      <c r="A1259" s="7">
        <v>1257</v>
      </c>
      <c r="B1259" s="18">
        <v>0.6348</v>
      </c>
      <c r="C1259" s="18">
        <v>1.0331</v>
      </c>
      <c r="D1259" s="16">
        <v>32557.48</v>
      </c>
      <c r="E1259" s="18">
        <v>0.8781</v>
      </c>
      <c r="F1259" s="18">
        <v>0.0882</v>
      </c>
      <c r="G1259" s="16">
        <v>2840522.75</v>
      </c>
      <c r="H1259" s="16">
        <v>3415776.04</v>
      </c>
      <c r="I1259" s="7" t="s">
        <v>125</v>
      </c>
    </row>
    <row r="1260" ht="15" customHeight="1">
      <c r="A1260" s="8">
        <v>1258</v>
      </c>
      <c r="B1260" s="19">
        <v>0.5893</v>
      </c>
      <c r="C1260" s="19">
        <v>1.2243</v>
      </c>
      <c r="D1260" s="17">
        <v>22453.22</v>
      </c>
      <c r="E1260" s="19">
        <v>0.8955</v>
      </c>
      <c r="F1260" s="19">
        <v>0.0921</v>
      </c>
      <c r="G1260" s="17">
        <v>3687251.42</v>
      </c>
      <c r="H1260" s="17">
        <v>4412221.15</v>
      </c>
      <c r="I1260" s="8" t="s">
        <v>125</v>
      </c>
    </row>
    <row r="1261" ht="15" customHeight="1">
      <c r="A1261" s="7">
        <v>1259</v>
      </c>
      <c r="B1261" s="18">
        <v>0.4344</v>
      </c>
      <c r="C1261" s="18">
        <v>0.9479</v>
      </c>
      <c r="D1261" s="16">
        <v>29603.03</v>
      </c>
      <c r="E1261" s="18">
        <v>0.8581</v>
      </c>
      <c r="F1261" s="18">
        <v>0.1347</v>
      </c>
      <c r="G1261" s="16">
        <v>1473135.04</v>
      </c>
      <c r="H1261" s="16">
        <v>1815021.05</v>
      </c>
      <c r="I1261" s="7" t="s">
        <v>125</v>
      </c>
    </row>
    <row r="1262" ht="15" customHeight="1">
      <c r="A1262" s="8">
        <v>1260</v>
      </c>
      <c r="B1262" s="19">
        <v>0.4394</v>
      </c>
      <c r="C1262" s="19">
        <v>1.1648</v>
      </c>
      <c r="D1262" s="17">
        <v>25359.33</v>
      </c>
      <c r="E1262" s="19">
        <v>0.9232</v>
      </c>
      <c r="F1262" s="19">
        <v>0.0992</v>
      </c>
      <c r="G1262" s="17">
        <v>2360423.83</v>
      </c>
      <c r="H1262" s="17">
        <v>2851795.45</v>
      </c>
      <c r="I1262" s="8" t="s">
        <v>125</v>
      </c>
    </row>
    <row r="1263" ht="15" customHeight="1">
      <c r="A1263" s="7">
        <v>1261</v>
      </c>
      <c r="B1263" s="18">
        <v>0.7329</v>
      </c>
      <c r="C1263" s="18">
        <v>1.2841</v>
      </c>
      <c r="D1263" s="16">
        <v>29414.8</v>
      </c>
      <c r="E1263" s="18">
        <v>0.9171</v>
      </c>
      <c r="F1263" s="18">
        <v>0.0654</v>
      </c>
      <c r="G1263" s="16">
        <v>4840020.73</v>
      </c>
      <c r="H1263" s="16">
        <v>5758239.62</v>
      </c>
      <c r="I1263" s="7" t="s">
        <v>125</v>
      </c>
    </row>
    <row r="1264" ht="15" customHeight="1">
      <c r="A1264" s="8">
        <v>1262</v>
      </c>
      <c r="B1264" s="19">
        <v>0.5841</v>
      </c>
      <c r="C1264" s="19">
        <v>1.3148</v>
      </c>
      <c r="D1264" s="17">
        <v>33293.11</v>
      </c>
      <c r="E1264" s="19">
        <v>0.9062</v>
      </c>
      <c r="F1264" s="19">
        <v>0.1029</v>
      </c>
      <c r="G1264" s="17">
        <v>3791313.41</v>
      </c>
      <c r="H1264" s="17">
        <v>4542207.58</v>
      </c>
      <c r="I1264" s="8" t="s">
        <v>125</v>
      </c>
    </row>
    <row r="1265" ht="15" customHeight="1">
      <c r="A1265" s="7">
        <v>1263</v>
      </c>
      <c r="B1265" s="18">
        <v>0.5949</v>
      </c>
      <c r="C1265" s="18">
        <v>0.884</v>
      </c>
      <c r="D1265" s="16">
        <v>32294.49</v>
      </c>
      <c r="E1265" s="18">
        <v>0.878</v>
      </c>
      <c r="F1265" s="18">
        <v>0.1208</v>
      </c>
      <c r="G1265" s="16">
        <v>2165166.44</v>
      </c>
      <c r="H1265" s="16">
        <v>2629767.46</v>
      </c>
      <c r="I1265" s="7" t="s">
        <v>125</v>
      </c>
    </row>
    <row r="1266" ht="15" customHeight="1">
      <c r="A1266" s="8">
        <v>1264</v>
      </c>
      <c r="B1266" s="19">
        <v>0.6734</v>
      </c>
      <c r="C1266" s="19">
        <v>1.1401</v>
      </c>
      <c r="D1266" s="17">
        <v>35468.38</v>
      </c>
      <c r="E1266" s="19">
        <v>0.943</v>
      </c>
      <c r="F1266" s="19">
        <v>0.1081</v>
      </c>
      <c r="G1266" s="17">
        <v>3969002.14</v>
      </c>
      <c r="H1266" s="17">
        <v>4754664.86</v>
      </c>
      <c r="I1266" s="8" t="s">
        <v>125</v>
      </c>
    </row>
    <row r="1267" ht="15" customHeight="1">
      <c r="A1267" s="7">
        <v>1265</v>
      </c>
      <c r="B1267" s="18">
        <v>0.5554</v>
      </c>
      <c r="C1267" s="18">
        <v>1.1087</v>
      </c>
      <c r="D1267" s="16">
        <v>22905.58</v>
      </c>
      <c r="E1267" s="18">
        <v>0.8821</v>
      </c>
      <c r="F1267" s="18">
        <v>0.0887</v>
      </c>
      <c r="G1267" s="16">
        <v>2901895.23</v>
      </c>
      <c r="H1267" s="16">
        <v>3485898.97</v>
      </c>
      <c r="I1267" s="7" t="s">
        <v>125</v>
      </c>
    </row>
    <row r="1268" ht="15" customHeight="1">
      <c r="A1268" s="8">
        <v>1266</v>
      </c>
      <c r="B1268" s="19">
        <v>0.6154</v>
      </c>
      <c r="C1268" s="19">
        <v>0.7389</v>
      </c>
      <c r="D1268" s="17">
        <v>29310.68</v>
      </c>
      <c r="E1268" s="19">
        <v>0.8831</v>
      </c>
      <c r="F1268" s="19">
        <v>0.1296</v>
      </c>
      <c r="G1268" s="17">
        <v>1835007.1</v>
      </c>
      <c r="H1268" s="17">
        <v>2241272.33</v>
      </c>
      <c r="I1268" s="8" t="s">
        <v>125</v>
      </c>
    </row>
    <row r="1269" ht="15" customHeight="1">
      <c r="A1269" s="7">
        <v>1267</v>
      </c>
      <c r="B1269" s="18">
        <v>0.6152</v>
      </c>
      <c r="C1269" s="18">
        <v>1.1777</v>
      </c>
      <c r="D1269" s="16">
        <v>26216.72</v>
      </c>
      <c r="E1269" s="18">
        <v>0.9251</v>
      </c>
      <c r="F1269" s="18">
        <v>0.1304</v>
      </c>
      <c r="G1269" s="16">
        <v>4000506.06</v>
      </c>
      <c r="H1269" s="16">
        <v>4798627.8</v>
      </c>
      <c r="I1269" s="7" t="s">
        <v>125</v>
      </c>
    </row>
    <row r="1270" ht="15" customHeight="1">
      <c r="A1270" s="8">
        <v>1268</v>
      </c>
      <c r="B1270" s="19">
        <v>0.4896</v>
      </c>
      <c r="C1270" s="19">
        <v>1.3824</v>
      </c>
      <c r="D1270" s="17">
        <v>26321.34</v>
      </c>
      <c r="E1270" s="19">
        <v>0.9478</v>
      </c>
      <c r="F1270" s="19">
        <v>0.0838</v>
      </c>
      <c r="G1270" s="17">
        <v>3483139.06</v>
      </c>
      <c r="H1270" s="17">
        <v>4169451.65</v>
      </c>
      <c r="I1270" s="8" t="s">
        <v>125</v>
      </c>
    </row>
    <row r="1271" ht="15" customHeight="1">
      <c r="A1271" s="7">
        <v>1269</v>
      </c>
      <c r="B1271" s="18">
        <v>0.6069</v>
      </c>
      <c r="C1271" s="18">
        <v>1.0933</v>
      </c>
      <c r="D1271" s="16">
        <v>31908.63</v>
      </c>
      <c r="E1271" s="18">
        <v>0.9214</v>
      </c>
      <c r="F1271" s="18">
        <v>0.1038</v>
      </c>
      <c r="G1271" s="16">
        <v>3211904.46</v>
      </c>
      <c r="H1271" s="16">
        <v>3859015.42</v>
      </c>
      <c r="I1271" s="7" t="s">
        <v>125</v>
      </c>
    </row>
    <row r="1272" ht="15" customHeight="1">
      <c r="A1272" s="8">
        <v>1270</v>
      </c>
      <c r="B1272" s="19">
        <v>0.6142</v>
      </c>
      <c r="C1272" s="19">
        <v>1.0036</v>
      </c>
      <c r="D1272" s="17">
        <v>38389.53</v>
      </c>
      <c r="E1272" s="19">
        <v>0.8803</v>
      </c>
      <c r="F1272" s="19">
        <v>0.1182</v>
      </c>
      <c r="G1272" s="17">
        <v>2578785.68</v>
      </c>
      <c r="H1272" s="17">
        <v>3119191.68</v>
      </c>
      <c r="I1272" s="8" t="s">
        <v>125</v>
      </c>
    </row>
    <row r="1273" ht="15" customHeight="1">
      <c r="A1273" s="7">
        <v>1271</v>
      </c>
      <c r="B1273" s="18">
        <v>0.5131</v>
      </c>
      <c r="C1273" s="18">
        <v>0.8847</v>
      </c>
      <c r="D1273" s="16">
        <v>28580.94</v>
      </c>
      <c r="E1273" s="18">
        <v>0.8446</v>
      </c>
      <c r="F1273" s="18">
        <v>0.1058</v>
      </c>
      <c r="G1273" s="16">
        <v>1627199.09</v>
      </c>
      <c r="H1273" s="16">
        <v>1989909.62</v>
      </c>
      <c r="I1273" s="7" t="s">
        <v>125</v>
      </c>
    </row>
    <row r="1274" ht="15" customHeight="1">
      <c r="A1274" s="8">
        <v>1272</v>
      </c>
      <c r="B1274" s="19">
        <v>0.6056</v>
      </c>
      <c r="C1274" s="19">
        <v>0.9904</v>
      </c>
      <c r="D1274" s="17">
        <v>28742.6</v>
      </c>
      <c r="E1274" s="19">
        <v>0.9366</v>
      </c>
      <c r="F1274" s="19">
        <v>0.0863</v>
      </c>
      <c r="G1274" s="17">
        <v>2844596.31</v>
      </c>
      <c r="H1274" s="17">
        <v>3418978.9</v>
      </c>
      <c r="I1274" s="8" t="s">
        <v>125</v>
      </c>
    </row>
    <row r="1275" ht="15" customHeight="1">
      <c r="A1275" s="7">
        <v>1273</v>
      </c>
      <c r="B1275" s="18">
        <v>0.4492</v>
      </c>
      <c r="C1275" s="18">
        <v>1.2025</v>
      </c>
      <c r="D1275" s="16">
        <v>24256.89</v>
      </c>
      <c r="E1275" s="18">
        <v>0.8828</v>
      </c>
      <c r="F1275" s="18">
        <v>0.0334</v>
      </c>
      <c r="G1275" s="16">
        <v>2128465.65</v>
      </c>
      <c r="H1275" s="16">
        <v>2559737.26</v>
      </c>
      <c r="I1275" s="7" t="s">
        <v>125</v>
      </c>
    </row>
    <row r="1276" ht="15" customHeight="1">
      <c r="A1276" s="8">
        <v>1274</v>
      </c>
      <c r="B1276" s="19">
        <v>0.6149</v>
      </c>
      <c r="C1276" s="19">
        <v>1.0603</v>
      </c>
      <c r="D1276" s="17">
        <v>21359.53</v>
      </c>
      <c r="E1276" s="19">
        <v>0.9205</v>
      </c>
      <c r="F1276" s="19">
        <v>0.1357</v>
      </c>
      <c r="G1276" s="17">
        <v>3642724.35</v>
      </c>
      <c r="H1276" s="17">
        <v>4376275.13</v>
      </c>
      <c r="I1276" s="8" t="s">
        <v>125</v>
      </c>
    </row>
    <row r="1277" ht="15" customHeight="1">
      <c r="A1277" s="7">
        <v>1275</v>
      </c>
      <c r="B1277" s="18">
        <v>0.6302</v>
      </c>
      <c r="C1277" s="18">
        <v>0.8349</v>
      </c>
      <c r="D1277" s="16">
        <v>25287.9</v>
      </c>
      <c r="E1277" s="18">
        <v>0.9505</v>
      </c>
      <c r="F1277" s="18">
        <v>0.0636</v>
      </c>
      <c r="G1277" s="16">
        <v>2395298.19</v>
      </c>
      <c r="H1277" s="16">
        <v>2882196.37</v>
      </c>
      <c r="I1277" s="7" t="s">
        <v>125</v>
      </c>
    </row>
    <row r="1278" ht="15" customHeight="1">
      <c r="A1278" s="8">
        <v>1276</v>
      </c>
      <c r="B1278" s="19">
        <v>0.7412</v>
      </c>
      <c r="C1278" s="19">
        <v>0.8873</v>
      </c>
      <c r="D1278" s="17">
        <v>27001.31</v>
      </c>
      <c r="E1278" s="19">
        <v>0.929</v>
      </c>
      <c r="F1278" s="19">
        <v>0.0994</v>
      </c>
      <c r="G1278" s="17">
        <v>3334026.47</v>
      </c>
      <c r="H1278" s="17">
        <v>3999973.13</v>
      </c>
      <c r="I1278" s="8" t="s">
        <v>125</v>
      </c>
    </row>
    <row r="1279" ht="15" customHeight="1">
      <c r="A1279" s="7">
        <v>1277</v>
      </c>
      <c r="B1279" s="18">
        <v>0.7147</v>
      </c>
      <c r="C1279" s="18">
        <v>0.984</v>
      </c>
      <c r="D1279" s="16">
        <v>34841.38</v>
      </c>
      <c r="E1279" s="18">
        <v>0.8596</v>
      </c>
      <c r="F1279" s="18">
        <v>0.1093</v>
      </c>
      <c r="G1279" s="16">
        <v>3103486.48</v>
      </c>
      <c r="H1279" s="16">
        <v>3734065.65</v>
      </c>
      <c r="I1279" s="7" t="s">
        <v>125</v>
      </c>
    </row>
    <row r="1280" ht="15" customHeight="1">
      <c r="A1280" s="8">
        <v>1278</v>
      </c>
      <c r="B1280" s="19">
        <v>0.6044</v>
      </c>
      <c r="C1280" s="19">
        <v>0.9366</v>
      </c>
      <c r="D1280" s="17">
        <v>19591.77</v>
      </c>
      <c r="E1280" s="19">
        <v>0.9372</v>
      </c>
      <c r="F1280" s="19">
        <v>0.0412</v>
      </c>
      <c r="G1280" s="17">
        <v>2673237.12</v>
      </c>
      <c r="H1280" s="17">
        <v>3200874.77</v>
      </c>
      <c r="I1280" s="8" t="s">
        <v>125</v>
      </c>
    </row>
    <row r="1281" ht="15" customHeight="1">
      <c r="A1281" s="7">
        <v>1279</v>
      </c>
      <c r="B1281" s="18">
        <v>0.5389</v>
      </c>
      <c r="C1281" s="18">
        <v>1.0689</v>
      </c>
      <c r="D1281" s="16">
        <v>26362.82</v>
      </c>
      <c r="E1281" s="18">
        <v>0.889</v>
      </c>
      <c r="F1281" s="18">
        <v>0.0979</v>
      </c>
      <c r="G1281" s="16">
        <v>2614675.43</v>
      </c>
      <c r="H1281" s="16">
        <v>3151359.2</v>
      </c>
      <c r="I1281" s="7" t="s">
        <v>125</v>
      </c>
    </row>
    <row r="1282" ht="15" customHeight="1">
      <c r="A1282" s="8">
        <v>1280</v>
      </c>
      <c r="B1282" s="19">
        <v>0.5237</v>
      </c>
      <c r="C1282" s="19">
        <v>1.0844</v>
      </c>
      <c r="D1282" s="17">
        <v>32564.31</v>
      </c>
      <c r="E1282" s="19">
        <v>0.9762</v>
      </c>
      <c r="F1282" s="19">
        <v>0.08</v>
      </c>
      <c r="G1282" s="17">
        <v>2639997.54</v>
      </c>
      <c r="H1282" s="17">
        <v>3176776.67</v>
      </c>
      <c r="I1282" s="8" t="s">
        <v>125</v>
      </c>
    </row>
    <row r="1283" ht="15" customHeight="1">
      <c r="A1283" s="7">
        <v>1281</v>
      </c>
      <c r="B1283" s="18">
        <v>0.4426</v>
      </c>
      <c r="C1283" s="18">
        <v>0.8833</v>
      </c>
      <c r="D1283" s="16">
        <v>35897.88</v>
      </c>
      <c r="E1283" s="18">
        <v>0.8924</v>
      </c>
      <c r="F1283" s="18">
        <v>0.0653</v>
      </c>
      <c r="G1283" s="16">
        <v>1009210.16</v>
      </c>
      <c r="H1283" s="16">
        <v>1254700.83</v>
      </c>
      <c r="I1283" s="7" t="s">
        <v>125</v>
      </c>
    </row>
    <row r="1284" ht="15" customHeight="1">
      <c r="A1284" s="8">
        <v>1282</v>
      </c>
      <c r="B1284" s="19">
        <v>0.4787</v>
      </c>
      <c r="C1284" s="19">
        <v>0.8886</v>
      </c>
      <c r="D1284" s="17">
        <v>27505.95</v>
      </c>
      <c r="E1284" s="19">
        <v>0.9197</v>
      </c>
      <c r="F1284" s="19">
        <v>0.1308</v>
      </c>
      <c r="G1284" s="17">
        <v>1815354.43</v>
      </c>
      <c r="H1284" s="17">
        <v>2217716.53</v>
      </c>
      <c r="I1284" s="8" t="s">
        <v>125</v>
      </c>
    </row>
    <row r="1285" ht="15" customHeight="1">
      <c r="A1285" s="7">
        <v>1283</v>
      </c>
      <c r="B1285" s="18">
        <v>0.6654</v>
      </c>
      <c r="C1285" s="18">
        <v>0.9516</v>
      </c>
      <c r="D1285" s="16">
        <v>25963.79</v>
      </c>
      <c r="E1285" s="18">
        <v>0.9072</v>
      </c>
      <c r="F1285" s="18">
        <v>0.1086</v>
      </c>
      <c r="G1285" s="16">
        <v>3146585.44</v>
      </c>
      <c r="H1285" s="16">
        <v>3782026.39</v>
      </c>
      <c r="I1285" s="7" t="s">
        <v>125</v>
      </c>
    </row>
    <row r="1286" ht="15" customHeight="1">
      <c r="A1286" s="8">
        <v>1284</v>
      </c>
      <c r="B1286" s="19">
        <v>0.6161</v>
      </c>
      <c r="C1286" s="19">
        <v>1.1179</v>
      </c>
      <c r="D1286" s="17">
        <v>36145.14</v>
      </c>
      <c r="E1286" s="19">
        <v>0.9204</v>
      </c>
      <c r="F1286" s="19">
        <v>0.1043</v>
      </c>
      <c r="G1286" s="17">
        <v>3252075.15</v>
      </c>
      <c r="H1286" s="17">
        <v>3907759.8</v>
      </c>
      <c r="I1286" s="8" t="s">
        <v>125</v>
      </c>
    </row>
    <row r="1287" ht="15" customHeight="1">
      <c r="A1287" s="7">
        <v>1285</v>
      </c>
      <c r="B1287" s="18">
        <v>0.422</v>
      </c>
      <c r="C1287" s="18">
        <v>0.6231</v>
      </c>
      <c r="D1287" s="16">
        <v>31873.81</v>
      </c>
      <c r="E1287" s="18">
        <v>0.9104</v>
      </c>
      <c r="F1287" s="18">
        <v>0.1261</v>
      </c>
      <c r="G1287" s="16">
        <v>501226.5</v>
      </c>
      <c r="H1287" s="16">
        <v>666020.97</v>
      </c>
      <c r="I1287" s="7" t="s">
        <v>125</v>
      </c>
    </row>
    <row r="1288" ht="15" customHeight="1">
      <c r="A1288" s="8">
        <v>1286</v>
      </c>
      <c r="B1288" s="19">
        <v>0.5792</v>
      </c>
      <c r="C1288" s="19">
        <v>0.9361</v>
      </c>
      <c r="D1288" s="17">
        <v>30221.3</v>
      </c>
      <c r="E1288" s="19">
        <v>0.8289</v>
      </c>
      <c r="F1288" s="19">
        <v>0.0925</v>
      </c>
      <c r="G1288" s="17">
        <v>2010497.1</v>
      </c>
      <c r="H1288" s="17">
        <v>2438744.76</v>
      </c>
      <c r="I1288" s="8" t="s">
        <v>125</v>
      </c>
    </row>
    <row r="1289" ht="15" customHeight="1">
      <c r="A1289" s="7">
        <v>1287</v>
      </c>
      <c r="B1289" s="18">
        <v>0.4922</v>
      </c>
      <c r="C1289" s="18">
        <v>1.2016</v>
      </c>
      <c r="D1289" s="16">
        <v>25460.11</v>
      </c>
      <c r="E1289" s="18">
        <v>0.8438</v>
      </c>
      <c r="F1289" s="18">
        <v>0.0654</v>
      </c>
      <c r="G1289" s="16">
        <v>2391068.58</v>
      </c>
      <c r="H1289" s="16">
        <v>2877802.05</v>
      </c>
      <c r="I1289" s="7" t="s">
        <v>125</v>
      </c>
    </row>
    <row r="1290" ht="15" customHeight="1">
      <c r="A1290" s="8">
        <v>1288</v>
      </c>
      <c r="B1290" s="19">
        <v>0.59</v>
      </c>
      <c r="C1290" s="19">
        <v>0.5793</v>
      </c>
      <c r="D1290" s="17">
        <v>32234.16</v>
      </c>
      <c r="E1290" s="19">
        <v>0.9064</v>
      </c>
      <c r="F1290" s="19">
        <v>0.0532</v>
      </c>
      <c r="G1290" s="17">
        <v>810657.39</v>
      </c>
      <c r="H1290" s="17">
        <v>1018316.64</v>
      </c>
      <c r="I1290" s="8" t="s">
        <v>125</v>
      </c>
    </row>
    <row r="1291" ht="15" customHeight="1">
      <c r="A1291" s="7">
        <v>1289</v>
      </c>
      <c r="B1291" s="18">
        <v>0.663</v>
      </c>
      <c r="C1291" s="18">
        <v>0.8533</v>
      </c>
      <c r="D1291" s="16">
        <v>29987.51</v>
      </c>
      <c r="E1291" s="18">
        <v>0.8948</v>
      </c>
      <c r="F1291" s="18">
        <v>0.1143</v>
      </c>
      <c r="G1291" s="16">
        <v>2541708.26</v>
      </c>
      <c r="H1291" s="16">
        <v>3071530.01</v>
      </c>
      <c r="I1291" s="7" t="s">
        <v>125</v>
      </c>
    </row>
    <row r="1292" ht="15" customHeight="1">
      <c r="A1292" s="8">
        <v>1290</v>
      </c>
      <c r="B1292" s="19">
        <v>0.6993</v>
      </c>
      <c r="C1292" s="19">
        <v>1.0817</v>
      </c>
      <c r="D1292" s="17">
        <v>28855.7</v>
      </c>
      <c r="E1292" s="19">
        <v>0.8746</v>
      </c>
      <c r="F1292" s="19">
        <v>0.0489</v>
      </c>
      <c r="G1292" s="17">
        <v>3331466.74</v>
      </c>
      <c r="H1292" s="17">
        <v>3977650.68</v>
      </c>
      <c r="I1292" s="8" t="s">
        <v>125</v>
      </c>
    </row>
    <row r="1293" ht="15" customHeight="1">
      <c r="A1293" s="7">
        <v>1291</v>
      </c>
      <c r="B1293" s="18">
        <v>0.5977</v>
      </c>
      <c r="C1293" s="18">
        <v>0.8758</v>
      </c>
      <c r="D1293" s="16">
        <v>23216.8</v>
      </c>
      <c r="E1293" s="18">
        <v>0.9108</v>
      </c>
      <c r="F1293" s="18">
        <v>0.0455</v>
      </c>
      <c r="G1293" s="16">
        <v>2214028.29</v>
      </c>
      <c r="H1293" s="16">
        <v>2663527.56</v>
      </c>
      <c r="I1293" s="7" t="s">
        <v>125</v>
      </c>
    </row>
    <row r="1294" ht="15" customHeight="1">
      <c r="A1294" s="8">
        <v>1292</v>
      </c>
      <c r="B1294" s="19">
        <v>0.6844</v>
      </c>
      <c r="C1294" s="19">
        <v>0.9749</v>
      </c>
      <c r="D1294" s="17">
        <v>33466.67</v>
      </c>
      <c r="E1294" s="19">
        <v>0.9565</v>
      </c>
      <c r="F1294" s="19">
        <v>0.1009</v>
      </c>
      <c r="G1294" s="17">
        <v>3345357.91</v>
      </c>
      <c r="H1294" s="17">
        <v>4015662.27</v>
      </c>
      <c r="I1294" s="8" t="s">
        <v>125</v>
      </c>
    </row>
    <row r="1295" ht="15" customHeight="1">
      <c r="A1295" s="7">
        <v>1293</v>
      </c>
      <c r="B1295" s="18">
        <v>0.7247</v>
      </c>
      <c r="C1295" s="18">
        <v>1.0096</v>
      </c>
      <c r="D1295" s="16">
        <v>26250.74</v>
      </c>
      <c r="E1295" s="18">
        <v>0.9148</v>
      </c>
      <c r="F1295" s="18">
        <v>0.0767</v>
      </c>
      <c r="G1295" s="16">
        <v>3641170.41</v>
      </c>
      <c r="H1295" s="16">
        <v>4352604.1</v>
      </c>
      <c r="I1295" s="7" t="s">
        <v>125</v>
      </c>
    </row>
    <row r="1296" ht="15" customHeight="1">
      <c r="A1296" s="8">
        <v>1294</v>
      </c>
      <c r="B1296" s="19">
        <v>0.8154</v>
      </c>
      <c r="C1296" s="19">
        <v>1.0474</v>
      </c>
      <c r="D1296" s="17">
        <v>21476.44</v>
      </c>
      <c r="E1296" s="19">
        <v>0.8201</v>
      </c>
      <c r="F1296" s="19">
        <v>0.1151</v>
      </c>
      <c r="G1296" s="17">
        <v>4271511.41</v>
      </c>
      <c r="H1296" s="17">
        <v>5110493.26</v>
      </c>
      <c r="I1296" s="8" t="s">
        <v>125</v>
      </c>
    </row>
    <row r="1297" ht="15" customHeight="1">
      <c r="A1297" s="7">
        <v>1295</v>
      </c>
      <c r="B1297" s="18">
        <v>0.5742</v>
      </c>
      <c r="C1297" s="18">
        <v>0.8447</v>
      </c>
      <c r="D1297" s="16">
        <v>19853.78</v>
      </c>
      <c r="E1297" s="18">
        <v>0.9261</v>
      </c>
      <c r="F1297" s="18">
        <v>0.0923</v>
      </c>
      <c r="G1297" s="16">
        <v>2327377.73</v>
      </c>
      <c r="H1297" s="16">
        <v>2809462.13</v>
      </c>
      <c r="I1297" s="7" t="s">
        <v>125</v>
      </c>
    </row>
    <row r="1298" ht="15" customHeight="1">
      <c r="A1298" s="8">
        <v>1296</v>
      </c>
      <c r="B1298" s="19">
        <v>0.56</v>
      </c>
      <c r="C1298" s="19">
        <v>1.0493</v>
      </c>
      <c r="D1298" s="17">
        <v>28497.57</v>
      </c>
      <c r="E1298" s="19">
        <v>0.9183</v>
      </c>
      <c r="F1298" s="19">
        <v>0.1305</v>
      </c>
      <c r="G1298" s="17">
        <v>2926010.32</v>
      </c>
      <c r="H1298" s="17">
        <v>3530104.67</v>
      </c>
      <c r="I1298" s="8" t="s">
        <v>125</v>
      </c>
    </row>
    <row r="1299" ht="15" customHeight="1">
      <c r="A1299" s="7">
        <v>1297</v>
      </c>
      <c r="B1299" s="18">
        <v>0.4929</v>
      </c>
      <c r="C1299" s="18">
        <v>0.984</v>
      </c>
      <c r="D1299" s="16">
        <v>34514.66</v>
      </c>
      <c r="E1299" s="18">
        <v>0.909</v>
      </c>
      <c r="F1299" s="18">
        <v>0.1511</v>
      </c>
      <c r="G1299" s="16">
        <v>2072606.32</v>
      </c>
      <c r="H1299" s="16">
        <v>2529797.17</v>
      </c>
      <c r="I1299" s="7" t="s">
        <v>125</v>
      </c>
    </row>
    <row r="1300" ht="15" customHeight="1">
      <c r="A1300" s="8">
        <v>1298</v>
      </c>
      <c r="B1300" s="19">
        <v>0.5837</v>
      </c>
      <c r="C1300" s="19">
        <v>1.0153</v>
      </c>
      <c r="D1300" s="17">
        <v>31851.82</v>
      </c>
      <c r="E1300" s="19">
        <v>0.9166</v>
      </c>
      <c r="F1300" s="19">
        <v>0.0691</v>
      </c>
      <c r="G1300" s="17">
        <v>2524984.09</v>
      </c>
      <c r="H1300" s="17">
        <v>3037639.72</v>
      </c>
      <c r="I1300" s="8" t="s">
        <v>125</v>
      </c>
    </row>
    <row r="1301" ht="15" customHeight="1">
      <c r="A1301" s="7">
        <v>1299</v>
      </c>
      <c r="B1301" s="18">
        <v>0.5902</v>
      </c>
      <c r="C1301" s="18">
        <v>0.9831</v>
      </c>
      <c r="D1301" s="16">
        <v>23553.74</v>
      </c>
      <c r="E1301" s="18">
        <v>0.8484</v>
      </c>
      <c r="F1301" s="18">
        <v>0.1003</v>
      </c>
      <c r="G1301" s="16">
        <v>2566923.54</v>
      </c>
      <c r="H1301" s="16">
        <v>3095075.5</v>
      </c>
      <c r="I1301" s="7" t="s">
        <v>125</v>
      </c>
    </row>
    <row r="1302" ht="15" customHeight="1">
      <c r="A1302" s="8">
        <v>1300</v>
      </c>
      <c r="B1302" s="19">
        <v>0.6419</v>
      </c>
      <c r="C1302" s="19">
        <v>0.8595</v>
      </c>
      <c r="D1302" s="17">
        <v>30988.19</v>
      </c>
      <c r="E1302" s="19">
        <v>0.8086</v>
      </c>
      <c r="F1302" s="19">
        <v>0.0377</v>
      </c>
      <c r="G1302" s="17">
        <v>1731777.78</v>
      </c>
      <c r="H1302" s="17">
        <v>2096168.68</v>
      </c>
      <c r="I1302" s="8" t="s">
        <v>125</v>
      </c>
    </row>
    <row r="1303" ht="15" customHeight="1">
      <c r="A1303" s="7">
        <v>1301</v>
      </c>
      <c r="B1303" s="18">
        <v>0.6855</v>
      </c>
      <c r="C1303" s="18">
        <v>1.1326</v>
      </c>
      <c r="D1303" s="16">
        <v>27023.55</v>
      </c>
      <c r="E1303" s="18">
        <v>0.9457</v>
      </c>
      <c r="F1303" s="18">
        <v>0.0585</v>
      </c>
      <c r="G1303" s="16">
        <v>3956426.74</v>
      </c>
      <c r="H1303" s="16">
        <v>4715724.66</v>
      </c>
      <c r="I1303" s="7" t="s">
        <v>125</v>
      </c>
    </row>
    <row r="1304" ht="15" customHeight="1">
      <c r="A1304" s="8">
        <v>1302</v>
      </c>
      <c r="B1304" s="19">
        <v>0.7768</v>
      </c>
      <c r="C1304" s="19">
        <v>0.7097</v>
      </c>
      <c r="D1304" s="17">
        <v>30531.28</v>
      </c>
      <c r="E1304" s="19">
        <v>0.8812</v>
      </c>
      <c r="F1304" s="19">
        <v>0.0871</v>
      </c>
      <c r="G1304" s="17">
        <v>2242747.24</v>
      </c>
      <c r="H1304" s="17">
        <v>2710864.45</v>
      </c>
      <c r="I1304" s="8" t="s">
        <v>125</v>
      </c>
    </row>
    <row r="1305" ht="15" customHeight="1">
      <c r="A1305" s="7">
        <v>1303</v>
      </c>
      <c r="B1305" s="18">
        <v>0.6034</v>
      </c>
      <c r="C1305" s="18">
        <v>1.0899</v>
      </c>
      <c r="D1305" s="16">
        <v>34142.05</v>
      </c>
      <c r="E1305" s="18">
        <v>0.9007</v>
      </c>
      <c r="F1305" s="18">
        <v>0.0707</v>
      </c>
      <c r="G1305" s="16">
        <v>2812661.1</v>
      </c>
      <c r="H1305" s="16">
        <v>3377027.67</v>
      </c>
      <c r="I1305" s="7" t="s">
        <v>125</v>
      </c>
    </row>
    <row r="1306" ht="15" customHeight="1">
      <c r="A1306" s="8">
        <v>1304</v>
      </c>
      <c r="B1306" s="19">
        <v>0.7225</v>
      </c>
      <c r="C1306" s="19">
        <v>0.7914</v>
      </c>
      <c r="D1306" s="17">
        <v>34273.21</v>
      </c>
      <c r="E1306" s="19">
        <v>0.9484</v>
      </c>
      <c r="F1306" s="19">
        <v>0.1557</v>
      </c>
      <c r="G1306" s="17">
        <v>2907808.11</v>
      </c>
      <c r="H1306" s="17">
        <v>3519379.66</v>
      </c>
      <c r="I1306" s="8" t="s">
        <v>125</v>
      </c>
    </row>
    <row r="1307" ht="15" customHeight="1">
      <c r="A1307" s="7">
        <v>1305</v>
      </c>
      <c r="B1307" s="18">
        <v>0.7294</v>
      </c>
      <c r="C1307" s="18">
        <v>0.8839</v>
      </c>
      <c r="D1307" s="16">
        <v>30186.56</v>
      </c>
      <c r="E1307" s="18">
        <v>0.8305</v>
      </c>
      <c r="F1307" s="18">
        <v>0.1072</v>
      </c>
      <c r="G1307" s="16">
        <v>2718155.03</v>
      </c>
      <c r="H1307" s="16">
        <v>3277451.22</v>
      </c>
      <c r="I1307" s="7" t="s">
        <v>125</v>
      </c>
    </row>
    <row r="1308" ht="15" customHeight="1">
      <c r="A1308" s="8">
        <v>1306</v>
      </c>
      <c r="B1308" s="19">
        <v>0.6277</v>
      </c>
      <c r="C1308" s="19">
        <v>1.0575</v>
      </c>
      <c r="D1308" s="17">
        <v>25194.4</v>
      </c>
      <c r="E1308" s="19">
        <v>0.9494</v>
      </c>
      <c r="F1308" s="19">
        <v>0.1425</v>
      </c>
      <c r="G1308" s="17">
        <v>3801025.67</v>
      </c>
      <c r="H1308" s="17">
        <v>4567485.73</v>
      </c>
      <c r="I1308" s="8" t="s">
        <v>125</v>
      </c>
    </row>
    <row r="1309" ht="15" customHeight="1">
      <c r="A1309" s="7">
        <v>1307</v>
      </c>
      <c r="B1309" s="18">
        <v>0.5265</v>
      </c>
      <c r="C1309" s="18">
        <v>0.963</v>
      </c>
      <c r="D1309" s="16">
        <v>26990.49</v>
      </c>
      <c r="E1309" s="18">
        <v>0.8583</v>
      </c>
      <c r="F1309" s="18">
        <v>0.1334</v>
      </c>
      <c r="G1309" s="16">
        <v>2181513.52</v>
      </c>
      <c r="H1309" s="16">
        <v>2650847.34</v>
      </c>
      <c r="I1309" s="7" t="s">
        <v>125</v>
      </c>
    </row>
    <row r="1310" ht="15" customHeight="1">
      <c r="A1310" s="8">
        <v>1308</v>
      </c>
      <c r="B1310" s="19">
        <v>0.5759</v>
      </c>
      <c r="C1310" s="19">
        <v>0.8612</v>
      </c>
      <c r="D1310" s="17">
        <v>31053.55</v>
      </c>
      <c r="E1310" s="19">
        <v>0.9135</v>
      </c>
      <c r="F1310" s="19">
        <v>0.1463</v>
      </c>
      <c r="G1310" s="17">
        <v>2254103.33</v>
      </c>
      <c r="H1310" s="17">
        <v>2741781.66</v>
      </c>
      <c r="I1310" s="8" t="s">
        <v>125</v>
      </c>
    </row>
    <row r="1311" ht="15" customHeight="1">
      <c r="A1311" s="7">
        <v>1309</v>
      </c>
      <c r="B1311" s="18">
        <v>0.5552</v>
      </c>
      <c r="C1311" s="18">
        <v>0.928</v>
      </c>
      <c r="D1311" s="16">
        <v>29241.36</v>
      </c>
      <c r="E1311" s="18">
        <v>0.9343</v>
      </c>
      <c r="F1311" s="18">
        <v>0.1032</v>
      </c>
      <c r="G1311" s="16">
        <v>2325012.71</v>
      </c>
      <c r="H1311" s="16">
        <v>2812282.32</v>
      </c>
      <c r="I1311" s="7" t="s">
        <v>125</v>
      </c>
    </row>
    <row r="1312" ht="15" customHeight="1">
      <c r="A1312" s="8">
        <v>1310</v>
      </c>
      <c r="B1312" s="19">
        <v>0.5058</v>
      </c>
      <c r="C1312" s="19">
        <v>1.5561</v>
      </c>
      <c r="D1312" s="17">
        <v>29595.87</v>
      </c>
      <c r="E1312" s="19">
        <v>0.9365</v>
      </c>
      <c r="F1312" s="19">
        <v>0.0825</v>
      </c>
      <c r="G1312" s="17">
        <v>4064593.47</v>
      </c>
      <c r="H1312" s="17">
        <v>4854260.14</v>
      </c>
      <c r="I1312" s="8" t="s">
        <v>125</v>
      </c>
    </row>
    <row r="1313" ht="15" customHeight="1">
      <c r="A1313" s="7">
        <v>1311</v>
      </c>
      <c r="B1313" s="18">
        <v>0.5576</v>
      </c>
      <c r="C1313" s="18">
        <v>1.0416</v>
      </c>
      <c r="D1313" s="16">
        <v>30817.08</v>
      </c>
      <c r="E1313" s="18">
        <v>0.9157</v>
      </c>
      <c r="F1313" s="18">
        <v>0.0638</v>
      </c>
      <c r="G1313" s="16">
        <v>2449575.44</v>
      </c>
      <c r="H1313" s="16">
        <v>2947041.96</v>
      </c>
      <c r="I1313" s="7" t="s">
        <v>125</v>
      </c>
    </row>
    <row r="1314" ht="15" customHeight="1">
      <c r="A1314" s="8">
        <v>1312</v>
      </c>
      <c r="B1314" s="19">
        <v>0.62</v>
      </c>
      <c r="C1314" s="19">
        <v>0.9808</v>
      </c>
      <c r="D1314" s="17">
        <v>29036.79</v>
      </c>
      <c r="E1314" s="19">
        <v>0.8636</v>
      </c>
      <c r="F1314" s="19">
        <v>0.1813</v>
      </c>
      <c r="G1314" s="17">
        <v>3071827.29</v>
      </c>
      <c r="H1314" s="17">
        <v>3720058.27</v>
      </c>
      <c r="I1314" s="8" t="s">
        <v>125</v>
      </c>
    </row>
    <row r="1315" ht="15" customHeight="1">
      <c r="A1315" s="7">
        <v>1313</v>
      </c>
      <c r="B1315" s="18">
        <v>0.4589</v>
      </c>
      <c r="C1315" s="18">
        <v>0.764</v>
      </c>
      <c r="D1315" s="16">
        <v>30190.49</v>
      </c>
      <c r="E1315" s="18">
        <v>0.8103</v>
      </c>
      <c r="F1315" s="18">
        <v>0.1052</v>
      </c>
      <c r="G1315" s="16">
        <v>836044.78</v>
      </c>
      <c r="H1315" s="16">
        <v>1057234.53</v>
      </c>
      <c r="I1315" s="7" t="s">
        <v>125</v>
      </c>
    </row>
    <row r="1316" ht="15" customHeight="1">
      <c r="A1316" s="8">
        <v>1314</v>
      </c>
      <c r="B1316" s="19">
        <v>0.6117</v>
      </c>
      <c r="C1316" s="19">
        <v>0.9064</v>
      </c>
      <c r="D1316" s="17">
        <v>31602.57</v>
      </c>
      <c r="E1316" s="19">
        <v>0.8435</v>
      </c>
      <c r="F1316" s="19">
        <v>0.1431</v>
      </c>
      <c r="G1316" s="17">
        <v>2336177.54</v>
      </c>
      <c r="H1316" s="17">
        <v>2838101.25</v>
      </c>
      <c r="I1316" s="8" t="s">
        <v>125</v>
      </c>
    </row>
    <row r="1317" ht="15" customHeight="1">
      <c r="A1317" s="7">
        <v>1315</v>
      </c>
      <c r="B1317" s="18">
        <v>0.7406</v>
      </c>
      <c r="C1317" s="18">
        <v>1.0245</v>
      </c>
      <c r="D1317" s="16">
        <v>33933.47</v>
      </c>
      <c r="E1317" s="18">
        <v>0.9685</v>
      </c>
      <c r="F1317" s="18">
        <v>0.0358</v>
      </c>
      <c r="G1317" s="16">
        <v>3592577</v>
      </c>
      <c r="H1317" s="16">
        <v>4279266.84</v>
      </c>
      <c r="I1317" s="7" t="s">
        <v>125</v>
      </c>
    </row>
    <row r="1318" ht="15" customHeight="1">
      <c r="A1318" s="8">
        <v>1316</v>
      </c>
      <c r="B1318" s="19">
        <v>0.5676</v>
      </c>
      <c r="C1318" s="19">
        <v>0.7623</v>
      </c>
      <c r="D1318" s="17">
        <v>33325.22</v>
      </c>
      <c r="E1318" s="19">
        <v>0.9537</v>
      </c>
      <c r="F1318" s="19">
        <v>0.0267</v>
      </c>
      <c r="G1318" s="17">
        <v>1390327.72</v>
      </c>
      <c r="H1318" s="17">
        <v>1693021.32</v>
      </c>
      <c r="I1318" s="8" t="s">
        <v>125</v>
      </c>
    </row>
    <row r="1319" ht="15" customHeight="1">
      <c r="A1319" s="7">
        <v>1317</v>
      </c>
      <c r="B1319" s="18">
        <v>0.6659</v>
      </c>
      <c r="C1319" s="18">
        <v>1.0123</v>
      </c>
      <c r="D1319" s="16">
        <v>26544.81</v>
      </c>
      <c r="E1319" s="18">
        <v>0.8893</v>
      </c>
      <c r="F1319" s="18">
        <v>0.0681</v>
      </c>
      <c r="G1319" s="16">
        <v>3081543.97</v>
      </c>
      <c r="H1319" s="16">
        <v>3690918.13</v>
      </c>
      <c r="I1319" s="7" t="s">
        <v>125</v>
      </c>
    </row>
    <row r="1320" ht="15" customHeight="1">
      <c r="A1320" s="8">
        <v>1318</v>
      </c>
      <c r="B1320" s="19">
        <v>0.6303</v>
      </c>
      <c r="C1320" s="19">
        <v>1.0211</v>
      </c>
      <c r="D1320" s="17">
        <v>26038.33</v>
      </c>
      <c r="E1320" s="19">
        <v>0.8258</v>
      </c>
      <c r="F1320" s="19">
        <v>0.1137</v>
      </c>
      <c r="G1320" s="17">
        <v>2850712.31</v>
      </c>
      <c r="H1320" s="17">
        <v>3434767.6</v>
      </c>
      <c r="I1320" s="8" t="s">
        <v>125</v>
      </c>
    </row>
    <row r="1321" ht="15" customHeight="1">
      <c r="A1321" s="7">
        <v>1319</v>
      </c>
      <c r="B1321" s="18">
        <v>0.4692</v>
      </c>
      <c r="C1321" s="18">
        <v>0.876</v>
      </c>
      <c r="D1321" s="16">
        <v>32401.16</v>
      </c>
      <c r="E1321" s="18">
        <v>0.8774</v>
      </c>
      <c r="F1321" s="18">
        <v>0.0737</v>
      </c>
      <c r="G1321" s="16">
        <v>1228474.77</v>
      </c>
      <c r="H1321" s="16">
        <v>1513784.66</v>
      </c>
      <c r="I1321" s="7" t="s">
        <v>125</v>
      </c>
    </row>
    <row r="1322" ht="15" customHeight="1">
      <c r="A1322" s="8">
        <v>1320</v>
      </c>
      <c r="B1322" s="19">
        <v>0.5538</v>
      </c>
      <c r="C1322" s="19">
        <v>0.7787</v>
      </c>
      <c r="D1322" s="17">
        <v>30252.5</v>
      </c>
      <c r="E1322" s="19">
        <v>0.8752</v>
      </c>
      <c r="F1322" s="19">
        <v>0.1966</v>
      </c>
      <c r="G1322" s="17">
        <v>1880809.32</v>
      </c>
      <c r="H1322" s="17">
        <v>2312514.89</v>
      </c>
      <c r="I1322" s="8" t="s">
        <v>125</v>
      </c>
    </row>
    <row r="1323" ht="15" customHeight="1">
      <c r="A1323" s="7">
        <v>1321</v>
      </c>
      <c r="B1323" s="18">
        <v>0.5481</v>
      </c>
      <c r="C1323" s="18">
        <v>0.9438</v>
      </c>
      <c r="D1323" s="16">
        <v>29081.86</v>
      </c>
      <c r="E1323" s="18">
        <v>0.9301</v>
      </c>
      <c r="F1323" s="18">
        <v>0.0927</v>
      </c>
      <c r="G1323" s="16">
        <v>2278587.17</v>
      </c>
      <c r="H1323" s="16">
        <v>2754376.12</v>
      </c>
      <c r="I1323" s="7" t="s">
        <v>125</v>
      </c>
    </row>
    <row r="1324" ht="15" customHeight="1">
      <c r="A1324" s="8">
        <v>1322</v>
      </c>
      <c r="B1324" s="19">
        <v>0.5425</v>
      </c>
      <c r="C1324" s="19">
        <v>1.3821</v>
      </c>
      <c r="D1324" s="17">
        <v>27110.53</v>
      </c>
      <c r="E1324" s="19">
        <v>0.9486</v>
      </c>
      <c r="F1324" s="19">
        <v>0.0874</v>
      </c>
      <c r="G1324" s="17">
        <v>3987423.35</v>
      </c>
      <c r="H1324" s="17">
        <v>4764975.65</v>
      </c>
      <c r="I1324" s="8" t="s">
        <v>125</v>
      </c>
    </row>
    <row r="1325" ht="15" customHeight="1">
      <c r="A1325" s="7">
        <v>1323</v>
      </c>
      <c r="B1325" s="18">
        <v>0.6995</v>
      </c>
      <c r="C1325" s="18">
        <v>1.065</v>
      </c>
      <c r="D1325" s="16">
        <v>37760.76</v>
      </c>
      <c r="E1325" s="18">
        <v>0.9071</v>
      </c>
      <c r="F1325" s="18">
        <v>0.0988</v>
      </c>
      <c r="G1325" s="16">
        <v>3476954.26</v>
      </c>
      <c r="H1325" s="16">
        <v>4171073.97</v>
      </c>
      <c r="I1325" s="7" t="s">
        <v>125</v>
      </c>
    </row>
    <row r="1326" ht="15" customHeight="1">
      <c r="A1326" s="8">
        <v>1324</v>
      </c>
      <c r="B1326" s="19">
        <v>0.6413</v>
      </c>
      <c r="C1326" s="19">
        <v>1.0044</v>
      </c>
      <c r="D1326" s="17">
        <v>30940.09</v>
      </c>
      <c r="E1326" s="19">
        <v>0.8553</v>
      </c>
      <c r="F1326" s="19">
        <v>0.0954</v>
      </c>
      <c r="G1326" s="17">
        <v>2747346.32</v>
      </c>
      <c r="H1326" s="17">
        <v>3308104.66</v>
      </c>
      <c r="I1326" s="8" t="s">
        <v>125</v>
      </c>
    </row>
    <row r="1327" ht="15" customHeight="1">
      <c r="A1327" s="7">
        <v>1325</v>
      </c>
      <c r="B1327" s="18">
        <v>0.5657</v>
      </c>
      <c r="C1327" s="18">
        <v>1.0405</v>
      </c>
      <c r="D1327" s="16">
        <v>32012.21</v>
      </c>
      <c r="E1327" s="18">
        <v>0.9226</v>
      </c>
      <c r="F1327" s="18">
        <v>0.1583</v>
      </c>
      <c r="G1327" s="16">
        <v>2997343.34</v>
      </c>
      <c r="H1327" s="16">
        <v>3625287.24</v>
      </c>
      <c r="I1327" s="7" t="s">
        <v>125</v>
      </c>
    </row>
    <row r="1328" ht="15" customHeight="1">
      <c r="A1328" s="8">
        <v>1326</v>
      </c>
      <c r="B1328" s="19">
        <v>0.499</v>
      </c>
      <c r="C1328" s="19">
        <v>1.2671</v>
      </c>
      <c r="D1328" s="17">
        <v>25861.62</v>
      </c>
      <c r="E1328" s="19">
        <v>0.8103</v>
      </c>
      <c r="F1328" s="19">
        <v>0.0633</v>
      </c>
      <c r="G1328" s="17">
        <v>2461522.4</v>
      </c>
      <c r="H1328" s="17">
        <v>2960047.47</v>
      </c>
      <c r="I1328" s="8" t="s">
        <v>125</v>
      </c>
    </row>
    <row r="1329" ht="15" customHeight="1">
      <c r="A1329" s="7">
        <v>1327</v>
      </c>
      <c r="B1329" s="18">
        <v>0.6258</v>
      </c>
      <c r="C1329" s="18">
        <v>1.0765</v>
      </c>
      <c r="D1329" s="16">
        <v>28516.82</v>
      </c>
      <c r="E1329" s="18">
        <v>0.8887</v>
      </c>
      <c r="F1329" s="18">
        <v>0.0764</v>
      </c>
      <c r="G1329" s="16">
        <v>3063183.51</v>
      </c>
      <c r="H1329" s="16">
        <v>3672748.09</v>
      </c>
      <c r="I1329" s="7" t="s">
        <v>125</v>
      </c>
    </row>
    <row r="1330" ht="15" customHeight="1">
      <c r="A1330" s="8">
        <v>1328</v>
      </c>
      <c r="B1330" s="19">
        <v>0.419</v>
      </c>
      <c r="C1330" s="19">
        <v>1.2017</v>
      </c>
      <c r="D1330" s="17">
        <v>23055.37</v>
      </c>
      <c r="E1330" s="19">
        <v>0.9262</v>
      </c>
      <c r="F1330" s="19">
        <v>0.0789</v>
      </c>
      <c r="G1330" s="17">
        <v>2294089.67</v>
      </c>
      <c r="H1330" s="17">
        <v>2767228.93</v>
      </c>
      <c r="I1330" s="8" t="s">
        <v>125</v>
      </c>
    </row>
    <row r="1331" ht="15" customHeight="1">
      <c r="A1331" s="7">
        <v>1329</v>
      </c>
      <c r="B1331" s="18">
        <v>0.6584</v>
      </c>
      <c r="C1331" s="18">
        <v>1.3002</v>
      </c>
      <c r="D1331" s="16">
        <v>28561.59</v>
      </c>
      <c r="E1331" s="18">
        <v>0.9311</v>
      </c>
      <c r="F1331" s="18">
        <v>0.1036</v>
      </c>
      <c r="G1331" s="16">
        <v>4693115.74</v>
      </c>
      <c r="H1331" s="16">
        <v>5604545.14</v>
      </c>
      <c r="I1331" s="7" t="s">
        <v>125</v>
      </c>
    </row>
    <row r="1332" ht="15" customHeight="1">
      <c r="A1332" s="8">
        <v>1330</v>
      </c>
      <c r="B1332" s="19">
        <v>0.5168</v>
      </c>
      <c r="C1332" s="19">
        <v>0.7679</v>
      </c>
      <c r="D1332" s="17">
        <v>27098.13</v>
      </c>
      <c r="E1332" s="19">
        <v>0.9405</v>
      </c>
      <c r="F1332" s="19">
        <v>0.0973</v>
      </c>
      <c r="G1332" s="17">
        <v>1565847.97</v>
      </c>
      <c r="H1332" s="17">
        <v>1915183.47</v>
      </c>
      <c r="I1332" s="8" t="s">
        <v>125</v>
      </c>
    </row>
    <row r="1333" ht="15" customHeight="1">
      <c r="A1333" s="7">
        <v>1331</v>
      </c>
      <c r="B1333" s="18">
        <v>0.5885</v>
      </c>
      <c r="C1333" s="18">
        <v>0.8725</v>
      </c>
      <c r="D1333" s="16">
        <v>21188.7</v>
      </c>
      <c r="E1333" s="18">
        <v>0.9175</v>
      </c>
      <c r="F1333" s="18">
        <v>0.031</v>
      </c>
      <c r="G1333" s="16">
        <v>2174486.59</v>
      </c>
      <c r="H1333" s="16">
        <v>2612758.65</v>
      </c>
      <c r="I1333" s="7" t="s">
        <v>125</v>
      </c>
    </row>
    <row r="1334" ht="15" customHeight="1">
      <c r="A1334" s="8">
        <v>1332</v>
      </c>
      <c r="B1334" s="19">
        <v>0.3828</v>
      </c>
      <c r="C1334" s="19">
        <v>1.0936</v>
      </c>
      <c r="D1334" s="17">
        <v>35699.37</v>
      </c>
      <c r="E1334" s="19">
        <v>0.9309</v>
      </c>
      <c r="F1334" s="19">
        <v>0.12</v>
      </c>
      <c r="G1334" s="17">
        <v>1509799.08</v>
      </c>
      <c r="H1334" s="17">
        <v>1856971.44</v>
      </c>
      <c r="I1334" s="8" t="s">
        <v>125</v>
      </c>
    </row>
    <row r="1335" ht="15" customHeight="1">
      <c r="A1335" s="7">
        <v>1333</v>
      </c>
      <c r="B1335" s="18">
        <v>0.5243</v>
      </c>
      <c r="C1335" s="18">
        <v>1.0796</v>
      </c>
      <c r="D1335" s="16">
        <v>27150.85</v>
      </c>
      <c r="E1335" s="18">
        <v>0.9375</v>
      </c>
      <c r="F1335" s="18">
        <v>0.0931</v>
      </c>
      <c r="G1335" s="16">
        <v>2702815.12</v>
      </c>
      <c r="H1335" s="16">
        <v>3253874.68</v>
      </c>
      <c r="I1335" s="7" t="s">
        <v>125</v>
      </c>
    </row>
    <row r="1336" ht="15" customHeight="1">
      <c r="A1336" s="8">
        <v>1334</v>
      </c>
      <c r="B1336" s="19">
        <v>0.5743</v>
      </c>
      <c r="C1336" s="19">
        <v>1.0495</v>
      </c>
      <c r="D1336" s="17">
        <v>23491.16</v>
      </c>
      <c r="E1336" s="19">
        <v>0.9184</v>
      </c>
      <c r="F1336" s="19">
        <v>0.0787</v>
      </c>
      <c r="G1336" s="17">
        <v>2906770.12</v>
      </c>
      <c r="H1336" s="17">
        <v>3488408.87</v>
      </c>
      <c r="I1336" s="8" t="s">
        <v>125</v>
      </c>
    </row>
    <row r="1337" ht="15" customHeight="1">
      <c r="A1337" s="7">
        <v>1335</v>
      </c>
      <c r="B1337" s="18">
        <v>0.7831</v>
      </c>
      <c r="C1337" s="18">
        <v>0.8175</v>
      </c>
      <c r="D1337" s="16">
        <v>26820.13</v>
      </c>
      <c r="E1337" s="18">
        <v>0.9567</v>
      </c>
      <c r="F1337" s="18">
        <v>0.0461</v>
      </c>
      <c r="G1337" s="16">
        <v>3039427.5</v>
      </c>
      <c r="H1337" s="16">
        <v>3633369.1</v>
      </c>
      <c r="I1337" s="7" t="s">
        <v>125</v>
      </c>
    </row>
    <row r="1338" ht="15" customHeight="1">
      <c r="A1338" s="8">
        <v>1336</v>
      </c>
      <c r="B1338" s="19">
        <v>0.6309</v>
      </c>
      <c r="C1338" s="19">
        <v>1.0157</v>
      </c>
      <c r="D1338" s="17">
        <v>27590.99</v>
      </c>
      <c r="E1338" s="19">
        <v>0.9501</v>
      </c>
      <c r="F1338" s="19">
        <v>0.0985</v>
      </c>
      <c r="G1338" s="17">
        <v>3293898.67</v>
      </c>
      <c r="H1338" s="17">
        <v>3952469.73</v>
      </c>
      <c r="I1338" s="8" t="s">
        <v>125</v>
      </c>
    </row>
    <row r="1339" ht="15" customHeight="1">
      <c r="A1339" s="7">
        <v>1337</v>
      </c>
      <c r="B1339" s="18">
        <v>0.4086</v>
      </c>
      <c r="C1339" s="18">
        <v>1.0492</v>
      </c>
      <c r="D1339" s="16">
        <v>20808.2</v>
      </c>
      <c r="E1339" s="18">
        <v>0.9177</v>
      </c>
      <c r="F1339" s="18">
        <v>0.0138</v>
      </c>
      <c r="G1339" s="16">
        <v>1600319.22</v>
      </c>
      <c r="H1339" s="16">
        <v>1935307.16</v>
      </c>
      <c r="I1339" s="7" t="s">
        <v>125</v>
      </c>
    </row>
    <row r="1340" ht="15" customHeight="1">
      <c r="A1340" s="8">
        <v>1338</v>
      </c>
      <c r="B1340" s="19">
        <v>0.5664</v>
      </c>
      <c r="C1340" s="19">
        <v>0.9846</v>
      </c>
      <c r="D1340" s="17">
        <v>26938.75</v>
      </c>
      <c r="E1340" s="19">
        <v>0.8049</v>
      </c>
      <c r="F1340" s="19">
        <v>0.2084</v>
      </c>
      <c r="G1340" s="17">
        <v>2638245.6</v>
      </c>
      <c r="H1340" s="17">
        <v>3213076.39</v>
      </c>
      <c r="I1340" s="8" t="s">
        <v>125</v>
      </c>
    </row>
    <row r="1341" ht="15" customHeight="1">
      <c r="A1341" s="7">
        <v>1339</v>
      </c>
      <c r="B1341" s="18">
        <v>0.5107</v>
      </c>
      <c r="C1341" s="18">
        <v>0.8035</v>
      </c>
      <c r="D1341" s="16">
        <v>30168.29</v>
      </c>
      <c r="E1341" s="18">
        <v>0.8651</v>
      </c>
      <c r="F1341" s="18">
        <v>0.0953</v>
      </c>
      <c r="G1341" s="16">
        <v>1329996.58</v>
      </c>
      <c r="H1341" s="16">
        <v>1637562.17</v>
      </c>
      <c r="I1341" s="7" t="s">
        <v>125</v>
      </c>
    </row>
    <row r="1342" ht="15" customHeight="1">
      <c r="A1342" s="8">
        <v>1340</v>
      </c>
      <c r="B1342" s="19">
        <v>0.5921</v>
      </c>
      <c r="C1342" s="19">
        <v>1.0217</v>
      </c>
      <c r="D1342" s="17">
        <v>26101.72</v>
      </c>
      <c r="E1342" s="19">
        <v>0.8496</v>
      </c>
      <c r="F1342" s="19">
        <v>0.0432</v>
      </c>
      <c r="G1342" s="17">
        <v>2370049.67</v>
      </c>
      <c r="H1342" s="17">
        <v>2846361.66</v>
      </c>
      <c r="I1342" s="8" t="s">
        <v>125</v>
      </c>
    </row>
    <row r="1343" ht="15" customHeight="1">
      <c r="A1343" s="7">
        <v>1341</v>
      </c>
      <c r="B1343" s="18">
        <v>0.525</v>
      </c>
      <c r="C1343" s="18">
        <v>0.9857</v>
      </c>
      <c r="D1343" s="16">
        <v>34661.95</v>
      </c>
      <c r="E1343" s="18">
        <v>0.9548</v>
      </c>
      <c r="F1343" s="18">
        <v>0.0983</v>
      </c>
      <c r="G1343" s="16">
        <v>2228824.79</v>
      </c>
      <c r="H1343" s="16">
        <v>2698883.6</v>
      </c>
      <c r="I1343" s="7" t="s">
        <v>125</v>
      </c>
    </row>
    <row r="1344" ht="15" customHeight="1">
      <c r="A1344" s="8">
        <v>1342</v>
      </c>
      <c r="B1344" s="19">
        <v>0.3771</v>
      </c>
      <c r="C1344" s="19">
        <v>0.9128</v>
      </c>
      <c r="D1344" s="17">
        <v>30594.27</v>
      </c>
      <c r="E1344" s="19">
        <v>0.8754</v>
      </c>
      <c r="F1344" s="19">
        <v>0.1491</v>
      </c>
      <c r="G1344" s="17">
        <v>1084094.89</v>
      </c>
      <c r="H1344" s="17">
        <v>1358402.66</v>
      </c>
      <c r="I1344" s="8" t="s">
        <v>125</v>
      </c>
    </row>
    <row r="1345" ht="15" customHeight="1">
      <c r="A1345" s="7">
        <v>1343</v>
      </c>
      <c r="B1345" s="18">
        <v>0.3671</v>
      </c>
      <c r="C1345" s="18">
        <v>0.9942</v>
      </c>
      <c r="D1345" s="16">
        <v>30840.33</v>
      </c>
      <c r="E1345" s="18">
        <v>0.8933</v>
      </c>
      <c r="F1345" s="18">
        <v>0.0908</v>
      </c>
      <c r="G1345" s="16">
        <v>1082982.29</v>
      </c>
      <c r="H1345" s="16">
        <v>1345748.06</v>
      </c>
      <c r="I1345" s="7" t="s">
        <v>125</v>
      </c>
    </row>
    <row r="1346" ht="15" customHeight="1">
      <c r="A1346" s="8">
        <v>1344</v>
      </c>
      <c r="B1346" s="19">
        <v>0.6761</v>
      </c>
      <c r="C1346" s="19">
        <v>0.885</v>
      </c>
      <c r="D1346" s="17">
        <v>24428.06</v>
      </c>
      <c r="E1346" s="19">
        <v>0.8568</v>
      </c>
      <c r="F1346" s="19">
        <v>0.0582</v>
      </c>
      <c r="G1346" s="17">
        <v>2483600.6</v>
      </c>
      <c r="H1346" s="17">
        <v>2984177.71</v>
      </c>
      <c r="I1346" s="8" t="s">
        <v>125</v>
      </c>
    </row>
    <row r="1347" ht="15" customHeight="1">
      <c r="A1347" s="7">
        <v>1345</v>
      </c>
      <c r="B1347" s="18">
        <v>0.4765</v>
      </c>
      <c r="C1347" s="18">
        <v>1.1822</v>
      </c>
      <c r="D1347" s="16">
        <v>27681.9</v>
      </c>
      <c r="E1347" s="18">
        <v>0.9078</v>
      </c>
      <c r="F1347" s="18">
        <v>0.0661</v>
      </c>
      <c r="G1347" s="16">
        <v>2413384.18</v>
      </c>
      <c r="H1347" s="16">
        <v>2904656.94</v>
      </c>
      <c r="I1347" s="7" t="s">
        <v>125</v>
      </c>
    </row>
    <row r="1348" ht="15" customHeight="1">
      <c r="A1348" s="8">
        <v>1346</v>
      </c>
      <c r="B1348" s="19">
        <v>0.6226</v>
      </c>
      <c r="C1348" s="19">
        <v>1.1239</v>
      </c>
      <c r="D1348" s="17">
        <v>27475.9</v>
      </c>
      <c r="E1348" s="19">
        <v>0.9254</v>
      </c>
      <c r="F1348" s="19">
        <v>0.0703</v>
      </c>
      <c r="G1348" s="17">
        <v>3407677.08</v>
      </c>
      <c r="H1348" s="17">
        <v>4075536.28</v>
      </c>
      <c r="I1348" s="8" t="s">
        <v>125</v>
      </c>
    </row>
    <row r="1349" ht="15" customHeight="1">
      <c r="A1349" s="7">
        <v>1347</v>
      </c>
      <c r="B1349" s="18">
        <v>0.6426</v>
      </c>
      <c r="C1349" s="18">
        <v>0.9317</v>
      </c>
      <c r="D1349" s="16">
        <v>22936.23</v>
      </c>
      <c r="E1349" s="18">
        <v>0.9657</v>
      </c>
      <c r="F1349" s="18">
        <v>0.1236</v>
      </c>
      <c r="G1349" s="16">
        <v>3354281.75</v>
      </c>
      <c r="H1349" s="16">
        <v>4031613.44</v>
      </c>
      <c r="I1349" s="7" t="s">
        <v>125</v>
      </c>
    </row>
    <row r="1350" ht="15" customHeight="1">
      <c r="A1350" s="8">
        <v>1348</v>
      </c>
      <c r="B1350" s="19">
        <v>0.5427</v>
      </c>
      <c r="C1350" s="19">
        <v>1.0262</v>
      </c>
      <c r="D1350" s="17">
        <v>29611.74</v>
      </c>
      <c r="E1350" s="19">
        <v>0.846</v>
      </c>
      <c r="F1350" s="19">
        <v>0.1595</v>
      </c>
      <c r="G1350" s="17">
        <v>2504111.99</v>
      </c>
      <c r="H1350" s="17">
        <v>3040880.35</v>
      </c>
      <c r="I1350" s="8" t="s">
        <v>125</v>
      </c>
    </row>
    <row r="1351" ht="15" customHeight="1">
      <c r="A1351" s="7">
        <v>1349</v>
      </c>
      <c r="B1351" s="18">
        <v>0.5363</v>
      </c>
      <c r="C1351" s="18">
        <v>0.6036</v>
      </c>
      <c r="D1351" s="16">
        <v>36593.88</v>
      </c>
      <c r="E1351" s="18">
        <v>0.9331</v>
      </c>
      <c r="F1351" s="18">
        <v>0.0879</v>
      </c>
      <c r="G1351" s="16">
        <v>722481</v>
      </c>
      <c r="H1351" s="16">
        <v>921926.2</v>
      </c>
      <c r="I1351" s="7" t="s">
        <v>125</v>
      </c>
    </row>
    <row r="1352" ht="15" customHeight="1">
      <c r="A1352" s="8">
        <v>1350</v>
      </c>
      <c r="B1352" s="19">
        <v>0.5363</v>
      </c>
      <c r="C1352" s="19">
        <v>1.0779</v>
      </c>
      <c r="D1352" s="17">
        <v>19371.01</v>
      </c>
      <c r="E1352" s="19">
        <v>0.8622</v>
      </c>
      <c r="F1352" s="19">
        <v>0.0583</v>
      </c>
      <c r="G1352" s="17">
        <v>2540290.47</v>
      </c>
      <c r="H1352" s="17">
        <v>3050028.57</v>
      </c>
      <c r="I1352" s="8" t="s">
        <v>125</v>
      </c>
    </row>
    <row r="1353" ht="15" customHeight="1">
      <c r="A1353" s="7">
        <v>1351</v>
      </c>
      <c r="B1353" s="18">
        <v>0.4836</v>
      </c>
      <c r="C1353" s="18">
        <v>0.9025</v>
      </c>
      <c r="D1353" s="16">
        <v>26661.11</v>
      </c>
      <c r="E1353" s="18">
        <v>0.8077</v>
      </c>
      <c r="F1353" s="18">
        <v>0.135</v>
      </c>
      <c r="G1353" s="16">
        <v>1558188.01</v>
      </c>
      <c r="H1353" s="16">
        <v>1914541.22</v>
      </c>
      <c r="I1353" s="7" t="s">
        <v>125</v>
      </c>
    </row>
    <row r="1354" ht="15" customHeight="1">
      <c r="A1354" s="8">
        <v>1352</v>
      </c>
      <c r="B1354" s="19">
        <v>0.5089</v>
      </c>
      <c r="C1354" s="19">
        <v>0.7999</v>
      </c>
      <c r="D1354" s="17">
        <v>28020.96</v>
      </c>
      <c r="E1354" s="19">
        <v>0.9295</v>
      </c>
      <c r="F1354" s="19">
        <v>0.1319</v>
      </c>
      <c r="G1354" s="17">
        <v>1705300.73</v>
      </c>
      <c r="H1354" s="17">
        <v>2088155.19</v>
      </c>
      <c r="I1354" s="8" t="s">
        <v>125</v>
      </c>
    </row>
    <row r="1355" ht="15" customHeight="1">
      <c r="A1355" s="7">
        <v>1353</v>
      </c>
      <c r="B1355" s="18">
        <v>0.5377</v>
      </c>
      <c r="C1355" s="18">
        <v>0.9359</v>
      </c>
      <c r="D1355" s="16">
        <v>24853.71</v>
      </c>
      <c r="E1355" s="18">
        <v>0.8513</v>
      </c>
      <c r="F1355" s="18">
        <v>0.0428</v>
      </c>
      <c r="G1355" s="16">
        <v>1819850.1</v>
      </c>
      <c r="H1355" s="16">
        <v>2200198.76</v>
      </c>
      <c r="I1355" s="7" t="s">
        <v>125</v>
      </c>
    </row>
    <row r="1356" ht="15" customHeight="1">
      <c r="A1356" s="8">
        <v>1354</v>
      </c>
      <c r="B1356" s="19">
        <v>0.7283</v>
      </c>
      <c r="C1356" s="19">
        <v>0.856</v>
      </c>
      <c r="D1356" s="17">
        <v>32739.68</v>
      </c>
      <c r="E1356" s="19">
        <v>0.9396</v>
      </c>
      <c r="F1356" s="19">
        <v>0.1238</v>
      </c>
      <c r="G1356" s="17">
        <v>3111591.95</v>
      </c>
      <c r="H1356" s="17">
        <v>3748353.42</v>
      </c>
      <c r="I1356" s="8" t="s">
        <v>125</v>
      </c>
    </row>
    <row r="1357" ht="15" customHeight="1">
      <c r="A1357" s="7">
        <v>1355</v>
      </c>
      <c r="B1357" s="18">
        <v>0.6046</v>
      </c>
      <c r="C1357" s="18">
        <v>0.8706</v>
      </c>
      <c r="D1357" s="16">
        <v>34108.78</v>
      </c>
      <c r="E1357" s="18">
        <v>0.8482</v>
      </c>
      <c r="F1357" s="18">
        <v>0.1206</v>
      </c>
      <c r="G1357" s="16">
        <v>1992492.27</v>
      </c>
      <c r="H1357" s="16">
        <v>2426455.06</v>
      </c>
      <c r="I1357" s="7" t="s">
        <v>125</v>
      </c>
    </row>
    <row r="1358" ht="15" customHeight="1">
      <c r="A1358" s="8">
        <v>1356</v>
      </c>
      <c r="B1358" s="19">
        <v>0.5726</v>
      </c>
      <c r="C1358" s="19">
        <v>0.9303</v>
      </c>
      <c r="D1358" s="17">
        <v>30451.49</v>
      </c>
      <c r="E1358" s="19">
        <v>0.8534</v>
      </c>
      <c r="F1358" s="19">
        <v>0.0671</v>
      </c>
      <c r="G1358" s="17">
        <v>1930603.49</v>
      </c>
      <c r="H1358" s="17">
        <v>2337695.01</v>
      </c>
      <c r="I1358" s="8" t="s">
        <v>125</v>
      </c>
    </row>
    <row r="1359" ht="15" customHeight="1">
      <c r="A1359" s="7">
        <v>1357</v>
      </c>
      <c r="B1359" s="18">
        <v>0.7225</v>
      </c>
      <c r="C1359" s="18">
        <v>1.0984</v>
      </c>
      <c r="D1359" s="16">
        <v>32764.05</v>
      </c>
      <c r="E1359" s="18">
        <v>0.9384</v>
      </c>
      <c r="F1359" s="18">
        <v>0.1074</v>
      </c>
      <c r="G1359" s="16">
        <v>4202977.48</v>
      </c>
      <c r="H1359" s="16">
        <v>5029569.97</v>
      </c>
      <c r="I1359" s="7" t="s">
        <v>125</v>
      </c>
    </row>
    <row r="1360" ht="15" customHeight="1">
      <c r="A1360" s="8">
        <v>1358</v>
      </c>
      <c r="B1360" s="19">
        <v>0.5823</v>
      </c>
      <c r="C1360" s="19">
        <v>1.1214</v>
      </c>
      <c r="D1360" s="17">
        <v>23797.85</v>
      </c>
      <c r="E1360" s="19">
        <v>0.953</v>
      </c>
      <c r="F1360" s="19">
        <v>0.1411</v>
      </c>
      <c r="G1360" s="17">
        <v>3773366.75</v>
      </c>
      <c r="H1360" s="17">
        <v>4533679.45</v>
      </c>
      <c r="I1360" s="8" t="s">
        <v>125</v>
      </c>
    </row>
    <row r="1361" ht="15" customHeight="1">
      <c r="A1361" s="7">
        <v>1359</v>
      </c>
      <c r="B1361" s="18">
        <v>0.5771</v>
      </c>
      <c r="C1361" s="18">
        <v>1.0285</v>
      </c>
      <c r="D1361" s="16">
        <v>31632.9</v>
      </c>
      <c r="E1361" s="18">
        <v>0.9016</v>
      </c>
      <c r="F1361" s="18">
        <v>0.116</v>
      </c>
      <c r="G1361" s="16">
        <v>2718459.98</v>
      </c>
      <c r="H1361" s="16">
        <v>3281174.6</v>
      </c>
      <c r="I1361" s="7" t="s">
        <v>125</v>
      </c>
    </row>
    <row r="1362" ht="15" customHeight="1">
      <c r="A1362" s="8">
        <v>1360</v>
      </c>
      <c r="B1362" s="19">
        <v>0.5824</v>
      </c>
      <c r="C1362" s="19">
        <v>1.1446</v>
      </c>
      <c r="D1362" s="17">
        <v>19684.92</v>
      </c>
      <c r="E1362" s="19">
        <v>0.9046</v>
      </c>
      <c r="F1362" s="19">
        <v>0.1017</v>
      </c>
      <c r="G1362" s="17">
        <v>3513595.74</v>
      </c>
      <c r="H1362" s="17">
        <v>4210553.71</v>
      </c>
      <c r="I1362" s="8" t="s">
        <v>125</v>
      </c>
    </row>
    <row r="1363" ht="15" customHeight="1">
      <c r="A1363" s="7">
        <v>1361</v>
      </c>
      <c r="B1363" s="18">
        <v>0.4249</v>
      </c>
      <c r="C1363" s="18">
        <v>1.0533</v>
      </c>
      <c r="D1363" s="16">
        <v>35872.47</v>
      </c>
      <c r="E1363" s="18">
        <v>0.8116</v>
      </c>
      <c r="F1363" s="18">
        <v>0.0202</v>
      </c>
      <c r="G1363" s="16">
        <v>958848.33</v>
      </c>
      <c r="H1363" s="16">
        <v>1185878.52</v>
      </c>
      <c r="I1363" s="7" t="s">
        <v>125</v>
      </c>
    </row>
    <row r="1364" ht="15" customHeight="1">
      <c r="A1364" s="8">
        <v>1362</v>
      </c>
      <c r="B1364" s="19">
        <v>0.4433</v>
      </c>
      <c r="C1364" s="19">
        <v>1.1286</v>
      </c>
      <c r="D1364" s="17">
        <v>18367.86</v>
      </c>
      <c r="E1364" s="19">
        <v>0.8881</v>
      </c>
      <c r="F1364" s="19">
        <v>0.1365</v>
      </c>
      <c r="G1364" s="17">
        <v>2531143.4</v>
      </c>
      <c r="H1364" s="17">
        <v>3061770.83</v>
      </c>
      <c r="I1364" s="8" t="s">
        <v>125</v>
      </c>
    </row>
    <row r="1365" ht="15" customHeight="1">
      <c r="A1365" s="7">
        <v>1363</v>
      </c>
      <c r="B1365" s="18">
        <v>0.4247</v>
      </c>
      <c r="C1365" s="18">
        <v>1.3712</v>
      </c>
      <c r="D1365" s="16">
        <v>25001.98</v>
      </c>
      <c r="E1365" s="18">
        <v>0.881</v>
      </c>
      <c r="F1365" s="18">
        <v>0.1353</v>
      </c>
      <c r="G1365" s="16">
        <v>2853687.06</v>
      </c>
      <c r="H1365" s="16">
        <v>3445005.88</v>
      </c>
      <c r="I1365" s="7" t="s">
        <v>125</v>
      </c>
    </row>
    <row r="1366" ht="15" customHeight="1">
      <c r="A1366" s="8">
        <v>1364</v>
      </c>
      <c r="B1366" s="19">
        <v>0.4755</v>
      </c>
      <c r="C1366" s="19">
        <v>0.9547</v>
      </c>
      <c r="D1366" s="17">
        <v>30797.62</v>
      </c>
      <c r="E1366" s="19">
        <v>0.9752</v>
      </c>
      <c r="F1366" s="19">
        <v>0.1257</v>
      </c>
      <c r="G1366" s="17">
        <v>2088244.68</v>
      </c>
      <c r="H1366" s="17">
        <v>2539854.35</v>
      </c>
      <c r="I1366" s="8" t="s">
        <v>125</v>
      </c>
    </row>
    <row r="1367" ht="15" customHeight="1">
      <c r="A1367" s="7">
        <v>1365</v>
      </c>
      <c r="B1367" s="18">
        <v>0.5391</v>
      </c>
      <c r="C1367" s="18">
        <v>0.8503</v>
      </c>
      <c r="D1367" s="16">
        <v>27355.75</v>
      </c>
      <c r="E1367" s="18">
        <v>0.9489</v>
      </c>
      <c r="F1367" s="18">
        <v>0.1179</v>
      </c>
      <c r="G1367" s="16">
        <v>2101372.54</v>
      </c>
      <c r="H1367" s="16">
        <v>2552095.26</v>
      </c>
      <c r="I1367" s="7" t="s">
        <v>125</v>
      </c>
    </row>
    <row r="1368" ht="15" customHeight="1">
      <c r="A1368" s="8">
        <v>1366</v>
      </c>
      <c r="B1368" s="19">
        <v>0.6163</v>
      </c>
      <c r="C1368" s="19">
        <v>0.8596</v>
      </c>
      <c r="D1368" s="17">
        <v>37983.46</v>
      </c>
      <c r="E1368" s="19">
        <v>0.88</v>
      </c>
      <c r="F1368" s="19">
        <v>0.0808</v>
      </c>
      <c r="G1368" s="17">
        <v>1841706.9</v>
      </c>
      <c r="H1368" s="17">
        <v>2238476.13</v>
      </c>
      <c r="I1368" s="8" t="s">
        <v>125</v>
      </c>
    </row>
    <row r="1369" ht="15" customHeight="1">
      <c r="A1369" s="7">
        <v>1367</v>
      </c>
      <c r="B1369" s="18">
        <v>0.7995</v>
      </c>
      <c r="C1369" s="18">
        <v>1.2112</v>
      </c>
      <c r="D1369" s="16">
        <v>33553.71</v>
      </c>
      <c r="E1369" s="18">
        <v>0.9685</v>
      </c>
      <c r="F1369" s="18">
        <v>0.1102</v>
      </c>
      <c r="G1369" s="16">
        <v>5646162.53</v>
      </c>
      <c r="H1369" s="16">
        <v>6733638.9</v>
      </c>
      <c r="I1369" s="7" t="s">
        <v>125</v>
      </c>
    </row>
    <row r="1370" ht="15" customHeight="1">
      <c r="A1370" s="8">
        <v>1368</v>
      </c>
      <c r="B1370" s="19">
        <v>0.6576</v>
      </c>
      <c r="C1370" s="19">
        <v>0.9768</v>
      </c>
      <c r="D1370" s="17">
        <v>29926.64</v>
      </c>
      <c r="E1370" s="19">
        <v>0.9532</v>
      </c>
      <c r="F1370" s="19">
        <v>0.0926</v>
      </c>
      <c r="G1370" s="17">
        <v>3212590.59</v>
      </c>
      <c r="H1370" s="17">
        <v>3855038.93</v>
      </c>
      <c r="I1370" s="8" t="s">
        <v>125</v>
      </c>
    </row>
    <row r="1371" ht="15" customHeight="1">
      <c r="A1371" s="7">
        <v>1369</v>
      </c>
      <c r="B1371" s="18">
        <v>0.5291</v>
      </c>
      <c r="C1371" s="18">
        <v>0.9682</v>
      </c>
      <c r="D1371" s="16">
        <v>35916.02</v>
      </c>
      <c r="E1371" s="18">
        <v>0.9101</v>
      </c>
      <c r="F1371" s="18">
        <v>0.0695</v>
      </c>
      <c r="G1371" s="16">
        <v>1855566.53</v>
      </c>
      <c r="H1371" s="16">
        <v>2251136.72</v>
      </c>
      <c r="I1371" s="7" t="s">
        <v>125</v>
      </c>
    </row>
    <row r="1372" ht="15" customHeight="1">
      <c r="A1372" s="8">
        <v>1370</v>
      </c>
      <c r="B1372" s="19">
        <v>0.4439</v>
      </c>
      <c r="C1372" s="19">
        <v>0.6548</v>
      </c>
      <c r="D1372" s="17">
        <v>33047.12</v>
      </c>
      <c r="E1372" s="19">
        <v>0.8988</v>
      </c>
      <c r="F1372" s="19">
        <v>0.0877</v>
      </c>
      <c r="G1372" s="17">
        <v>533614.62</v>
      </c>
      <c r="H1372" s="17">
        <v>698595.98</v>
      </c>
      <c r="I1372" s="8" t="s">
        <v>125</v>
      </c>
    </row>
    <row r="1373" ht="15" customHeight="1">
      <c r="A1373" s="7">
        <v>1371</v>
      </c>
      <c r="B1373" s="18">
        <v>0.5853</v>
      </c>
      <c r="C1373" s="18">
        <v>1.0747</v>
      </c>
      <c r="D1373" s="16">
        <v>30777.9</v>
      </c>
      <c r="E1373" s="18">
        <v>0.9003</v>
      </c>
      <c r="F1373" s="18">
        <v>0.0655</v>
      </c>
      <c r="G1373" s="16">
        <v>2703010.1</v>
      </c>
      <c r="H1373" s="16">
        <v>3245592.88</v>
      </c>
      <c r="I1373" s="7" t="s">
        <v>125</v>
      </c>
    </row>
    <row r="1374" ht="15" customHeight="1">
      <c r="A1374" s="8">
        <v>1372</v>
      </c>
      <c r="B1374" s="19">
        <v>0.5014</v>
      </c>
      <c r="C1374" s="19">
        <v>1.3757</v>
      </c>
      <c r="D1374" s="17">
        <v>28037.61</v>
      </c>
      <c r="E1374" s="19">
        <v>0.8492</v>
      </c>
      <c r="F1374" s="19">
        <v>0.1324</v>
      </c>
      <c r="G1374" s="17">
        <v>3307039.14</v>
      </c>
      <c r="H1374" s="17">
        <v>3980777.64</v>
      </c>
      <c r="I1374" s="8" t="s">
        <v>125</v>
      </c>
    </row>
    <row r="1375" ht="15" customHeight="1">
      <c r="A1375" s="7">
        <v>1373</v>
      </c>
      <c r="B1375" s="18">
        <v>0.5696</v>
      </c>
      <c r="C1375" s="18">
        <v>1.1889</v>
      </c>
      <c r="D1375" s="16">
        <v>28697.08</v>
      </c>
      <c r="E1375" s="18">
        <v>0.8906</v>
      </c>
      <c r="F1375" s="18">
        <v>0.0579</v>
      </c>
      <c r="G1375" s="16">
        <v>2982722.6</v>
      </c>
      <c r="H1375" s="16">
        <v>3571344.68</v>
      </c>
      <c r="I1375" s="7" t="s">
        <v>125</v>
      </c>
    </row>
    <row r="1376" ht="15" customHeight="1">
      <c r="A1376" s="8">
        <v>1374</v>
      </c>
      <c r="B1376" s="19">
        <v>0.3978</v>
      </c>
      <c r="C1376" s="19">
        <v>0.8661</v>
      </c>
      <c r="D1376" s="17">
        <v>39462.22</v>
      </c>
      <c r="E1376" s="19">
        <v>0.9255</v>
      </c>
      <c r="F1376" s="19">
        <v>0.0739</v>
      </c>
      <c r="G1376" s="17">
        <v>713349.03</v>
      </c>
      <c r="H1376" s="17">
        <v>909125.75</v>
      </c>
      <c r="I1376" s="8" t="s">
        <v>125</v>
      </c>
    </row>
    <row r="1377" ht="15" customHeight="1">
      <c r="A1377" s="7">
        <v>1375</v>
      </c>
      <c r="B1377" s="18">
        <v>0.5414</v>
      </c>
      <c r="C1377" s="18">
        <v>1.1956</v>
      </c>
      <c r="D1377" s="16">
        <v>36273.84</v>
      </c>
      <c r="E1377" s="18">
        <v>0.919</v>
      </c>
      <c r="F1377" s="18">
        <v>0.099</v>
      </c>
      <c r="G1377" s="16">
        <v>2927293.87</v>
      </c>
      <c r="H1377" s="16">
        <v>3522872</v>
      </c>
      <c r="I1377" s="7" t="s">
        <v>125</v>
      </c>
    </row>
    <row r="1378" ht="15" customHeight="1">
      <c r="A1378" s="8">
        <v>1376</v>
      </c>
      <c r="B1378" s="19">
        <v>0.3975</v>
      </c>
      <c r="C1378" s="19">
        <v>1.0124</v>
      </c>
      <c r="D1378" s="17">
        <v>31677.33</v>
      </c>
      <c r="E1378" s="19">
        <v>0.7893</v>
      </c>
      <c r="F1378" s="19">
        <v>0.1149</v>
      </c>
      <c r="G1378" s="17">
        <v>1070600.71</v>
      </c>
      <c r="H1378" s="17">
        <v>1336189.82</v>
      </c>
      <c r="I1378" s="8" t="s">
        <v>125</v>
      </c>
    </row>
    <row r="1379" ht="15" customHeight="1">
      <c r="A1379" s="7">
        <v>1377</v>
      </c>
      <c r="B1379" s="18">
        <v>0.5596</v>
      </c>
      <c r="C1379" s="18">
        <v>1.0548</v>
      </c>
      <c r="D1379" s="16">
        <v>26936.36</v>
      </c>
      <c r="E1379" s="18">
        <v>0.872</v>
      </c>
      <c r="F1379" s="18">
        <v>0.0805</v>
      </c>
      <c r="G1379" s="16">
        <v>2529641.81</v>
      </c>
      <c r="H1379" s="16">
        <v>3045804.92</v>
      </c>
      <c r="I1379" s="7" t="s">
        <v>125</v>
      </c>
    </row>
    <row r="1380" ht="15" customHeight="1">
      <c r="A1380" s="8">
        <v>1378</v>
      </c>
      <c r="B1380" s="19">
        <v>0.5232</v>
      </c>
      <c r="C1380" s="19">
        <v>1.069</v>
      </c>
      <c r="D1380" s="17">
        <v>25901.16</v>
      </c>
      <c r="E1380" s="19">
        <v>0.9187</v>
      </c>
      <c r="F1380" s="19">
        <v>0.102</v>
      </c>
      <c r="G1380" s="17">
        <v>2662661.84</v>
      </c>
      <c r="H1380" s="17">
        <v>3209101.44</v>
      </c>
      <c r="I1380" s="8" t="s">
        <v>125</v>
      </c>
    </row>
    <row r="1381" ht="15" customHeight="1">
      <c r="A1381" s="7">
        <v>1379</v>
      </c>
      <c r="B1381" s="18">
        <v>0.6278</v>
      </c>
      <c r="C1381" s="18">
        <v>0.7907</v>
      </c>
      <c r="D1381" s="16">
        <v>40196.56</v>
      </c>
      <c r="E1381" s="18">
        <v>0.9052</v>
      </c>
      <c r="F1381" s="18">
        <v>0.1266</v>
      </c>
      <c r="G1381" s="16">
        <v>1853653.88</v>
      </c>
      <c r="H1381" s="16">
        <v>2266195.13</v>
      </c>
      <c r="I1381" s="7" t="s">
        <v>125</v>
      </c>
    </row>
    <row r="1382" ht="15" customHeight="1">
      <c r="A1382" s="8">
        <v>1380</v>
      </c>
      <c r="B1382" s="19">
        <v>0.7923</v>
      </c>
      <c r="C1382" s="19">
        <v>0.9173</v>
      </c>
      <c r="D1382" s="17">
        <v>31012.49</v>
      </c>
      <c r="E1382" s="19">
        <v>0.8539</v>
      </c>
      <c r="F1382" s="19">
        <v>0.1094</v>
      </c>
      <c r="G1382" s="17">
        <v>3341615.9</v>
      </c>
      <c r="H1382" s="17">
        <v>4013871.27</v>
      </c>
      <c r="I1382" s="8" t="s">
        <v>125</v>
      </c>
    </row>
    <row r="1383" ht="15" customHeight="1">
      <c r="A1383" s="7">
        <v>1381</v>
      </c>
      <c r="B1383" s="18">
        <v>0.5289</v>
      </c>
      <c r="C1383" s="18">
        <v>1.1251</v>
      </c>
      <c r="D1383" s="16">
        <v>27264.19</v>
      </c>
      <c r="E1383" s="18">
        <v>0.8639</v>
      </c>
      <c r="F1383" s="18">
        <v>0.0283</v>
      </c>
      <c r="G1383" s="16">
        <v>2263701.36</v>
      </c>
      <c r="H1383" s="16">
        <v>2717096.99</v>
      </c>
      <c r="I1383" s="7" t="s">
        <v>125</v>
      </c>
    </row>
    <row r="1384" ht="15" customHeight="1">
      <c r="A1384" s="8">
        <v>1382</v>
      </c>
      <c r="B1384" s="19">
        <v>0.6439</v>
      </c>
      <c r="C1384" s="19">
        <v>1.0353</v>
      </c>
      <c r="D1384" s="17">
        <v>33474.98</v>
      </c>
      <c r="E1384" s="19">
        <v>0.9162</v>
      </c>
      <c r="F1384" s="19">
        <v>0.0214</v>
      </c>
      <c r="G1384" s="17">
        <v>2684156.37</v>
      </c>
      <c r="H1384" s="17">
        <v>3208129.66</v>
      </c>
      <c r="I1384" s="8" t="s">
        <v>125</v>
      </c>
    </row>
    <row r="1385" ht="15" customHeight="1">
      <c r="A1385" s="7">
        <v>1383</v>
      </c>
      <c r="B1385" s="18">
        <v>0.7368</v>
      </c>
      <c r="C1385" s="18">
        <v>1.1411</v>
      </c>
      <c r="D1385" s="16">
        <v>30512.15</v>
      </c>
      <c r="E1385" s="18">
        <v>0.8882</v>
      </c>
      <c r="F1385" s="18">
        <v>0.1041</v>
      </c>
      <c r="G1385" s="16">
        <v>4263062.83</v>
      </c>
      <c r="H1385" s="16">
        <v>5098248.63</v>
      </c>
      <c r="I1385" s="7" t="s">
        <v>125</v>
      </c>
    </row>
    <row r="1386" ht="15" customHeight="1">
      <c r="A1386" s="8">
        <v>1384</v>
      </c>
      <c r="B1386" s="19">
        <v>0.5918</v>
      </c>
      <c r="C1386" s="19">
        <v>0.9784</v>
      </c>
      <c r="D1386" s="17">
        <v>21031.53</v>
      </c>
      <c r="E1386" s="19">
        <v>0.9146</v>
      </c>
      <c r="F1386" s="19">
        <v>0.0792</v>
      </c>
      <c r="G1386" s="17">
        <v>2812316.32</v>
      </c>
      <c r="H1386" s="17">
        <v>3376849.96</v>
      </c>
      <c r="I1386" s="8" t="s">
        <v>125</v>
      </c>
    </row>
    <row r="1387" ht="15" customHeight="1">
      <c r="A1387" s="7">
        <v>1385</v>
      </c>
      <c r="B1387" s="18">
        <v>0.5716</v>
      </c>
      <c r="C1387" s="18">
        <v>1.1322</v>
      </c>
      <c r="D1387" s="16">
        <v>31160</v>
      </c>
      <c r="E1387" s="18">
        <v>0.9118</v>
      </c>
      <c r="F1387" s="18">
        <v>0.1518</v>
      </c>
      <c r="G1387" s="16">
        <v>3359803.27</v>
      </c>
      <c r="H1387" s="16">
        <v>4051541.75</v>
      </c>
      <c r="I1387" s="7" t="s">
        <v>125</v>
      </c>
    </row>
    <row r="1388" ht="15" customHeight="1">
      <c r="A1388" s="8">
        <v>1386</v>
      </c>
      <c r="B1388" s="19">
        <v>0.5878</v>
      </c>
      <c r="C1388" s="19">
        <v>0.9883</v>
      </c>
      <c r="D1388" s="17">
        <v>35507.14</v>
      </c>
      <c r="E1388" s="19">
        <v>0.9354</v>
      </c>
      <c r="F1388" s="19">
        <v>0.1522</v>
      </c>
      <c r="G1388" s="17">
        <v>2859404.94</v>
      </c>
      <c r="H1388" s="17">
        <v>3461406.7</v>
      </c>
      <c r="I1388" s="8" t="s">
        <v>125</v>
      </c>
    </row>
    <row r="1389" ht="15" customHeight="1">
      <c r="A1389" s="7">
        <v>1387</v>
      </c>
      <c r="B1389" s="18">
        <v>0.6483</v>
      </c>
      <c r="C1389" s="18">
        <v>1.0734</v>
      </c>
      <c r="D1389" s="16">
        <v>30328.85</v>
      </c>
      <c r="E1389" s="18">
        <v>0.8555</v>
      </c>
      <c r="F1389" s="18">
        <v>0.0542</v>
      </c>
      <c r="G1389" s="16">
        <v>2858659.59</v>
      </c>
      <c r="H1389" s="16">
        <v>3424482.51</v>
      </c>
      <c r="I1389" s="7" t="s">
        <v>125</v>
      </c>
    </row>
    <row r="1390" ht="15" customHeight="1">
      <c r="A1390" s="8">
        <v>1388</v>
      </c>
      <c r="B1390" s="19">
        <v>0.694</v>
      </c>
      <c r="C1390" s="19">
        <v>1.0955</v>
      </c>
      <c r="D1390" s="17">
        <v>34066.82</v>
      </c>
      <c r="E1390" s="19">
        <v>0.9067</v>
      </c>
      <c r="F1390" s="19">
        <v>0.0929</v>
      </c>
      <c r="G1390" s="17">
        <v>3651385.5</v>
      </c>
      <c r="H1390" s="17">
        <v>4373220.32</v>
      </c>
      <c r="I1390" s="8" t="s">
        <v>125</v>
      </c>
    </row>
    <row r="1391" ht="15" customHeight="1">
      <c r="A1391" s="7">
        <v>1389</v>
      </c>
      <c r="B1391" s="18">
        <v>0.506</v>
      </c>
      <c r="C1391" s="18">
        <v>0.9286</v>
      </c>
      <c r="D1391" s="16">
        <v>30266.72</v>
      </c>
      <c r="E1391" s="18">
        <v>0.8078</v>
      </c>
      <c r="F1391" s="18">
        <v>0.0776</v>
      </c>
      <c r="G1391" s="16">
        <v>1443431.75</v>
      </c>
      <c r="H1391" s="16">
        <v>1767184.34</v>
      </c>
      <c r="I1391" s="7" t="s">
        <v>125</v>
      </c>
    </row>
    <row r="1392" ht="15" customHeight="1">
      <c r="A1392" s="8">
        <v>1390</v>
      </c>
      <c r="B1392" s="19">
        <v>0.7282</v>
      </c>
      <c r="C1392" s="19">
        <v>0.8764</v>
      </c>
      <c r="D1392" s="17">
        <v>38582.38</v>
      </c>
      <c r="E1392" s="19">
        <v>0.916</v>
      </c>
      <c r="F1392" s="19">
        <v>0.1548</v>
      </c>
      <c r="G1392" s="17">
        <v>3106364.97</v>
      </c>
      <c r="H1392" s="17">
        <v>3755797.69</v>
      </c>
      <c r="I1392" s="8" t="s">
        <v>125</v>
      </c>
    </row>
    <row r="1393" ht="15" customHeight="1">
      <c r="A1393" s="7">
        <v>1391</v>
      </c>
      <c r="B1393" s="18">
        <v>0.7277</v>
      </c>
      <c r="C1393" s="18">
        <v>0.9606</v>
      </c>
      <c r="D1393" s="16">
        <v>29788.96</v>
      </c>
      <c r="E1393" s="18">
        <v>0.8427</v>
      </c>
      <c r="F1393" s="18">
        <v>0.125</v>
      </c>
      <c r="G1393" s="16">
        <v>3234444.54</v>
      </c>
      <c r="H1393" s="16">
        <v>3892891.75</v>
      </c>
      <c r="I1393" s="7" t="s">
        <v>125</v>
      </c>
    </row>
    <row r="1394" ht="15" customHeight="1">
      <c r="A1394" s="8">
        <v>1392</v>
      </c>
      <c r="B1394" s="19">
        <v>0.5757</v>
      </c>
      <c r="C1394" s="19">
        <v>1.0857</v>
      </c>
      <c r="D1394" s="17">
        <v>25286.93</v>
      </c>
      <c r="E1394" s="19">
        <v>0.8554</v>
      </c>
      <c r="F1394" s="19">
        <v>0.1096</v>
      </c>
      <c r="G1394" s="17">
        <v>2875251.07</v>
      </c>
      <c r="H1394" s="17">
        <v>3462114.75</v>
      </c>
      <c r="I1394" s="8" t="s">
        <v>125</v>
      </c>
    </row>
    <row r="1395" ht="15" customHeight="1">
      <c r="A1395" s="7">
        <v>1393</v>
      </c>
      <c r="B1395" s="18">
        <v>0.6552</v>
      </c>
      <c r="C1395" s="18">
        <v>1.2948</v>
      </c>
      <c r="D1395" s="16">
        <v>26999.95</v>
      </c>
      <c r="E1395" s="18">
        <v>0.8802</v>
      </c>
      <c r="F1395" s="18">
        <v>0.0693</v>
      </c>
      <c r="G1395" s="16">
        <v>4119769.78</v>
      </c>
      <c r="H1395" s="16">
        <v>4912633.25</v>
      </c>
      <c r="I1395" s="7" t="s">
        <v>125</v>
      </c>
    </row>
    <row r="1396" ht="15" customHeight="1">
      <c r="A1396" s="8">
        <v>1394</v>
      </c>
      <c r="B1396" s="19">
        <v>0.7109</v>
      </c>
      <c r="C1396" s="19">
        <v>1.0013</v>
      </c>
      <c r="D1396" s="17">
        <v>25454.99</v>
      </c>
      <c r="E1396" s="19">
        <v>0.9298</v>
      </c>
      <c r="F1396" s="19">
        <v>0.0424</v>
      </c>
      <c r="G1396" s="17">
        <v>3398412</v>
      </c>
      <c r="H1396" s="17">
        <v>4053240.29</v>
      </c>
      <c r="I1396" s="8" t="s">
        <v>125</v>
      </c>
    </row>
    <row r="1397" ht="15" customHeight="1">
      <c r="A1397" s="7">
        <v>1395</v>
      </c>
      <c r="B1397" s="18">
        <v>0.7226</v>
      </c>
      <c r="C1397" s="18">
        <v>1.0339</v>
      </c>
      <c r="D1397" s="16">
        <v>29705.34</v>
      </c>
      <c r="E1397" s="18">
        <v>0.8133</v>
      </c>
      <c r="F1397" s="18">
        <v>0.1513</v>
      </c>
      <c r="G1397" s="16">
        <v>3539720.51</v>
      </c>
      <c r="H1397" s="16">
        <v>4263602.03</v>
      </c>
      <c r="I1397" s="7" t="s">
        <v>125</v>
      </c>
    </row>
    <row r="1398" ht="15" customHeight="1">
      <c r="A1398" s="8">
        <v>1396</v>
      </c>
      <c r="B1398" s="19">
        <v>0.7516</v>
      </c>
      <c r="C1398" s="19">
        <v>0.931</v>
      </c>
      <c r="D1398" s="17">
        <v>35912.97</v>
      </c>
      <c r="E1398" s="19">
        <v>0.9656</v>
      </c>
      <c r="F1398" s="19">
        <v>0.0621</v>
      </c>
      <c r="G1398" s="17">
        <v>3295995.47</v>
      </c>
      <c r="H1398" s="17">
        <v>3942431.4</v>
      </c>
      <c r="I1398" s="8" t="s">
        <v>125</v>
      </c>
    </row>
    <row r="1399" ht="15" customHeight="1">
      <c r="A1399" s="7">
        <v>1397</v>
      </c>
      <c r="B1399" s="18">
        <v>0.6196</v>
      </c>
      <c r="C1399" s="18">
        <v>1.1093</v>
      </c>
      <c r="D1399" s="16">
        <v>27555.97</v>
      </c>
      <c r="E1399" s="18">
        <v>0.9199</v>
      </c>
      <c r="F1399" s="18">
        <v>0.0726</v>
      </c>
      <c r="G1399" s="16">
        <v>3310301.88</v>
      </c>
      <c r="H1399" s="16">
        <v>3961889.1</v>
      </c>
      <c r="I1399" s="7" t="s">
        <v>125</v>
      </c>
    </row>
    <row r="1400" ht="15" customHeight="1">
      <c r="A1400" s="8">
        <v>1398</v>
      </c>
      <c r="B1400" s="19">
        <v>0.6488</v>
      </c>
      <c r="C1400" s="19">
        <v>0.9539</v>
      </c>
      <c r="D1400" s="17">
        <v>23727.95</v>
      </c>
      <c r="E1400" s="19">
        <v>0.9054</v>
      </c>
      <c r="F1400" s="19">
        <v>0.1415</v>
      </c>
      <c r="G1400" s="17">
        <v>3294490.7</v>
      </c>
      <c r="H1400" s="17">
        <v>3967675.09</v>
      </c>
      <c r="I1400" s="8" t="s">
        <v>125</v>
      </c>
    </row>
    <row r="1401" ht="15" customHeight="1">
      <c r="A1401" s="7">
        <v>1399</v>
      </c>
      <c r="B1401" s="18">
        <v>0.8076</v>
      </c>
      <c r="C1401" s="18">
        <v>0.9538</v>
      </c>
      <c r="D1401" s="16">
        <v>22771.15</v>
      </c>
      <c r="E1401" s="18">
        <v>0.8496</v>
      </c>
      <c r="F1401" s="18">
        <v>0.059</v>
      </c>
      <c r="G1401" s="16">
        <v>3531589.52</v>
      </c>
      <c r="H1401" s="16">
        <v>4215926.31</v>
      </c>
      <c r="I1401" s="7" t="s">
        <v>125</v>
      </c>
    </row>
    <row r="1402" ht="15" customHeight="1">
      <c r="A1402" s="8">
        <v>1400</v>
      </c>
      <c r="B1402" s="19">
        <v>0.5864</v>
      </c>
      <c r="C1402" s="19">
        <v>1.0493</v>
      </c>
      <c r="D1402" s="17">
        <v>24005.23</v>
      </c>
      <c r="E1402" s="19">
        <v>0.865</v>
      </c>
      <c r="F1402" s="19">
        <v>0.0639</v>
      </c>
      <c r="G1402" s="17">
        <v>2662800.6</v>
      </c>
      <c r="H1402" s="17">
        <v>3196587.68</v>
      </c>
      <c r="I1402" s="8" t="s">
        <v>125</v>
      </c>
    </row>
    <row r="1403" ht="15" customHeight="1">
      <c r="A1403" s="7">
        <v>1401</v>
      </c>
      <c r="B1403" s="18">
        <v>0.6458</v>
      </c>
      <c r="C1403" s="18">
        <v>1.1038</v>
      </c>
      <c r="D1403" s="16">
        <v>23432.24</v>
      </c>
      <c r="E1403" s="18">
        <v>0.8703</v>
      </c>
      <c r="F1403" s="18">
        <v>0.0724</v>
      </c>
      <c r="G1403" s="16">
        <v>3351810.38</v>
      </c>
      <c r="H1403" s="16">
        <v>4009843.47</v>
      </c>
      <c r="I1403" s="7" t="s">
        <v>125</v>
      </c>
    </row>
    <row r="1404" ht="15" customHeight="1">
      <c r="A1404" s="8">
        <v>1402</v>
      </c>
      <c r="B1404" s="19">
        <v>0.5048</v>
      </c>
      <c r="C1404" s="19">
        <v>0.8192</v>
      </c>
      <c r="D1404" s="17">
        <v>32856.57</v>
      </c>
      <c r="E1404" s="19">
        <v>0.9482</v>
      </c>
      <c r="F1404" s="19">
        <v>0.0894</v>
      </c>
      <c r="G1404" s="17">
        <v>1497663.66</v>
      </c>
      <c r="H1404" s="17">
        <v>1834419.6</v>
      </c>
      <c r="I1404" s="8" t="s">
        <v>125</v>
      </c>
    </row>
    <row r="1405" ht="15" customHeight="1">
      <c r="A1405" s="7">
        <v>1403</v>
      </c>
      <c r="B1405" s="18">
        <v>0.5662</v>
      </c>
      <c r="C1405" s="18">
        <v>1.2146</v>
      </c>
      <c r="D1405" s="16">
        <v>25700.21</v>
      </c>
      <c r="E1405" s="18">
        <v>0.9368</v>
      </c>
      <c r="F1405" s="18">
        <v>0.0873</v>
      </c>
      <c r="G1405" s="16">
        <v>3543416.32</v>
      </c>
      <c r="H1405" s="16">
        <v>4241665.21</v>
      </c>
      <c r="I1405" s="7" t="s">
        <v>125</v>
      </c>
    </row>
    <row r="1406" ht="15" customHeight="1">
      <c r="A1406" s="8">
        <v>1404</v>
      </c>
      <c r="B1406" s="19">
        <v>0.4567</v>
      </c>
      <c r="C1406" s="19">
        <v>0.8563</v>
      </c>
      <c r="D1406" s="17">
        <v>31461.07</v>
      </c>
      <c r="E1406" s="19">
        <v>0.9134</v>
      </c>
      <c r="F1406" s="19">
        <v>0.0437</v>
      </c>
      <c r="G1406" s="17">
        <v>1131826.29</v>
      </c>
      <c r="H1406" s="17">
        <v>1393474.79</v>
      </c>
      <c r="I1406" s="8" t="s">
        <v>125</v>
      </c>
    </row>
    <row r="1407" ht="15" customHeight="1">
      <c r="A1407" s="7">
        <v>1405</v>
      </c>
      <c r="B1407" s="18">
        <v>0.5722</v>
      </c>
      <c r="C1407" s="18">
        <v>1.0704</v>
      </c>
      <c r="D1407" s="16">
        <v>26384.99</v>
      </c>
      <c r="E1407" s="18">
        <v>0.9265</v>
      </c>
      <c r="F1407" s="18">
        <v>0.05</v>
      </c>
      <c r="G1407" s="16">
        <v>2763228.86</v>
      </c>
      <c r="H1407" s="16">
        <v>3310317.93</v>
      </c>
      <c r="I1407" s="7" t="s">
        <v>125</v>
      </c>
    </row>
    <row r="1408" ht="15" customHeight="1">
      <c r="A1408" s="8">
        <v>1406</v>
      </c>
      <c r="B1408" s="19">
        <v>0.7922</v>
      </c>
      <c r="C1408" s="19">
        <v>0.9323</v>
      </c>
      <c r="D1408" s="17">
        <v>27400.23</v>
      </c>
      <c r="E1408" s="19">
        <v>0.872</v>
      </c>
      <c r="F1408" s="19">
        <v>0.0845</v>
      </c>
      <c r="G1408" s="17">
        <v>3472332.79</v>
      </c>
      <c r="H1408" s="17">
        <v>4157245.88</v>
      </c>
      <c r="I1408" s="8" t="s">
        <v>125</v>
      </c>
    </row>
    <row r="1409" ht="15" customHeight="1">
      <c r="A1409" s="7">
        <v>1407</v>
      </c>
      <c r="B1409" s="18">
        <v>0.5625</v>
      </c>
      <c r="C1409" s="18">
        <v>0.8694</v>
      </c>
      <c r="D1409" s="16">
        <v>21366.53</v>
      </c>
      <c r="E1409" s="18">
        <v>0.7987</v>
      </c>
      <c r="F1409" s="18">
        <v>0.0387</v>
      </c>
      <c r="G1409" s="16">
        <v>1653266.85</v>
      </c>
      <c r="H1409" s="16">
        <v>2003261.43</v>
      </c>
      <c r="I1409" s="7" t="s">
        <v>125</v>
      </c>
    </row>
    <row r="1410" ht="15" customHeight="1">
      <c r="A1410" s="8">
        <v>1408</v>
      </c>
      <c r="B1410" s="19">
        <v>0.694</v>
      </c>
      <c r="C1410" s="19">
        <v>1.2464</v>
      </c>
      <c r="D1410" s="17">
        <v>25929.4</v>
      </c>
      <c r="E1410" s="19">
        <v>0.8426</v>
      </c>
      <c r="F1410" s="19">
        <v>0.1064</v>
      </c>
      <c r="G1410" s="17">
        <v>4287243.4</v>
      </c>
      <c r="H1410" s="17">
        <v>5126509.53</v>
      </c>
      <c r="I1410" s="8" t="s">
        <v>125</v>
      </c>
    </row>
    <row r="1411" ht="15" customHeight="1">
      <c r="A1411" s="7">
        <v>1409</v>
      </c>
      <c r="B1411" s="18">
        <v>0.494</v>
      </c>
      <c r="C1411" s="18">
        <v>1.1755</v>
      </c>
      <c r="D1411" s="16">
        <v>29845.92</v>
      </c>
      <c r="E1411" s="18">
        <v>0.8098</v>
      </c>
      <c r="F1411" s="18">
        <v>0.0989</v>
      </c>
      <c r="G1411" s="16">
        <v>2203667.2</v>
      </c>
      <c r="H1411" s="16">
        <v>2668112.17</v>
      </c>
      <c r="I1411" s="7" t="s">
        <v>125</v>
      </c>
    </row>
    <row r="1412" ht="15" customHeight="1">
      <c r="A1412" s="8">
        <v>1410</v>
      </c>
      <c r="B1412" s="19">
        <v>0.3895</v>
      </c>
      <c r="C1412" s="19">
        <v>0.8376</v>
      </c>
      <c r="D1412" s="17">
        <v>22657.21</v>
      </c>
      <c r="E1412" s="19">
        <v>0.9457</v>
      </c>
      <c r="F1412" s="19">
        <v>0.0968</v>
      </c>
      <c r="G1412" s="17">
        <v>1224742.22</v>
      </c>
      <c r="H1412" s="17">
        <v>1511887.01</v>
      </c>
      <c r="I1412" s="8" t="s">
        <v>125</v>
      </c>
    </row>
    <row r="1413" ht="15" customHeight="1">
      <c r="A1413" s="7">
        <v>1411</v>
      </c>
      <c r="B1413" s="18">
        <v>0.7652</v>
      </c>
      <c r="C1413" s="18">
        <v>1.0883</v>
      </c>
      <c r="D1413" s="16">
        <v>25064.36</v>
      </c>
      <c r="E1413" s="18">
        <v>0.7732</v>
      </c>
      <c r="F1413" s="18">
        <v>0.2169</v>
      </c>
      <c r="G1413" s="16">
        <v>4412868.31</v>
      </c>
      <c r="H1413" s="16">
        <v>5323048.78</v>
      </c>
      <c r="I1413" s="7" t="s">
        <v>125</v>
      </c>
    </row>
    <row r="1414" ht="15" customHeight="1">
      <c r="A1414" s="8">
        <v>1412</v>
      </c>
      <c r="B1414" s="19">
        <v>0.5188</v>
      </c>
      <c r="C1414" s="19">
        <v>0.9242</v>
      </c>
      <c r="D1414" s="17">
        <v>28618.9</v>
      </c>
      <c r="E1414" s="19">
        <v>0.8001</v>
      </c>
      <c r="F1414" s="19">
        <v>0.067</v>
      </c>
      <c r="G1414" s="17">
        <v>1484472.56</v>
      </c>
      <c r="H1414" s="17">
        <v>1812668.49</v>
      </c>
      <c r="I1414" s="8" t="s">
        <v>125</v>
      </c>
    </row>
    <row r="1415" ht="15" customHeight="1">
      <c r="A1415" s="7">
        <v>1413</v>
      </c>
      <c r="B1415" s="18">
        <v>0.7139</v>
      </c>
      <c r="C1415" s="18">
        <v>1.2187</v>
      </c>
      <c r="D1415" s="16">
        <v>29261.08</v>
      </c>
      <c r="E1415" s="18">
        <v>0.7944</v>
      </c>
      <c r="F1415" s="18">
        <v>0.0811</v>
      </c>
      <c r="G1415" s="16">
        <v>3733621.95</v>
      </c>
      <c r="H1415" s="16">
        <v>4463926.58</v>
      </c>
      <c r="I1415" s="7" t="s">
        <v>125</v>
      </c>
    </row>
    <row r="1416" ht="15" customHeight="1">
      <c r="A1416" s="8">
        <v>1414</v>
      </c>
      <c r="B1416" s="19">
        <v>0.5394</v>
      </c>
      <c r="C1416" s="19">
        <v>1.4367</v>
      </c>
      <c r="D1416" s="17">
        <v>24291.48</v>
      </c>
      <c r="E1416" s="19">
        <v>0.9216</v>
      </c>
      <c r="F1416" s="19">
        <v>0.0951</v>
      </c>
      <c r="G1416" s="17">
        <v>4149881.65</v>
      </c>
      <c r="H1416" s="17">
        <v>4959069.29</v>
      </c>
      <c r="I1416" s="8" t="s">
        <v>125</v>
      </c>
    </row>
    <row r="1417" ht="15" customHeight="1">
      <c r="A1417" s="7">
        <v>1415</v>
      </c>
      <c r="B1417" s="18">
        <v>0.4083</v>
      </c>
      <c r="C1417" s="18">
        <v>1.2246</v>
      </c>
      <c r="D1417" s="16">
        <v>29366.25</v>
      </c>
      <c r="E1417" s="18">
        <v>0.9317</v>
      </c>
      <c r="F1417" s="18">
        <v>0.1386</v>
      </c>
      <c r="G1417" s="16">
        <v>2369491.47</v>
      </c>
      <c r="H1417" s="16">
        <v>2875320.91</v>
      </c>
      <c r="I1417" s="7" t="s">
        <v>125</v>
      </c>
    </row>
    <row r="1418" ht="15" customHeight="1">
      <c r="A1418" s="8">
        <v>1416</v>
      </c>
      <c r="B1418" s="19">
        <v>0.685</v>
      </c>
      <c r="C1418" s="19">
        <v>1.3206</v>
      </c>
      <c r="D1418" s="17">
        <v>34175.11</v>
      </c>
      <c r="E1418" s="19">
        <v>0.9472</v>
      </c>
      <c r="F1418" s="19">
        <v>0.1198</v>
      </c>
      <c r="G1418" s="17">
        <v>5101948.85</v>
      </c>
      <c r="H1418" s="17">
        <v>6096978.8</v>
      </c>
      <c r="I1418" s="8" t="s">
        <v>125</v>
      </c>
    </row>
    <row r="1419" ht="15" customHeight="1">
      <c r="A1419" s="7">
        <v>1417</v>
      </c>
      <c r="B1419" s="18">
        <v>0.3615</v>
      </c>
      <c r="C1419" s="18">
        <v>1.2904</v>
      </c>
      <c r="D1419" s="16">
        <v>26037.05</v>
      </c>
      <c r="E1419" s="18">
        <v>0.8602</v>
      </c>
      <c r="F1419" s="18">
        <v>0.0889</v>
      </c>
      <c r="G1419" s="16">
        <v>1773246.53</v>
      </c>
      <c r="H1419" s="16">
        <v>2157284.14</v>
      </c>
      <c r="I1419" s="7" t="s">
        <v>125</v>
      </c>
    </row>
    <row r="1420" ht="15" customHeight="1">
      <c r="A1420" s="8">
        <v>1418</v>
      </c>
      <c r="B1420" s="19">
        <v>0.4998</v>
      </c>
      <c r="C1420" s="19">
        <v>0.944</v>
      </c>
      <c r="D1420" s="17">
        <v>32731.12</v>
      </c>
      <c r="E1420" s="19">
        <v>0.9188</v>
      </c>
      <c r="F1420" s="19">
        <v>0.1165</v>
      </c>
      <c r="G1420" s="17">
        <v>1919042.7</v>
      </c>
      <c r="H1420" s="17">
        <v>2338180.75</v>
      </c>
      <c r="I1420" s="8" t="s">
        <v>125</v>
      </c>
    </row>
    <row r="1421" ht="15" customHeight="1">
      <c r="A1421" s="7">
        <v>1419</v>
      </c>
      <c r="B1421" s="18">
        <v>0.7332</v>
      </c>
      <c r="C1421" s="18">
        <v>0.9901</v>
      </c>
      <c r="D1421" s="16">
        <v>30216.57</v>
      </c>
      <c r="E1421" s="18">
        <v>0.9286</v>
      </c>
      <c r="F1421" s="18">
        <v>0.0516</v>
      </c>
      <c r="G1421" s="16">
        <v>3392901.3</v>
      </c>
      <c r="H1421" s="16">
        <v>4051100.25</v>
      </c>
      <c r="I1421" s="7" t="s">
        <v>125</v>
      </c>
    </row>
    <row r="1422" ht="15" customHeight="1">
      <c r="A1422" s="8">
        <v>1420</v>
      </c>
      <c r="B1422" s="19">
        <v>0.4983</v>
      </c>
      <c r="C1422" s="19">
        <v>1.1578</v>
      </c>
      <c r="D1422" s="17">
        <v>33684.24</v>
      </c>
      <c r="E1422" s="19">
        <v>0.8591</v>
      </c>
      <c r="F1422" s="19">
        <v>0.145</v>
      </c>
      <c r="G1422" s="17">
        <v>2500952.96</v>
      </c>
      <c r="H1422" s="17">
        <v>3034307.98</v>
      </c>
      <c r="I1422" s="8" t="s">
        <v>125</v>
      </c>
    </row>
    <row r="1423" ht="15" customHeight="1">
      <c r="A1423" s="7">
        <v>1421</v>
      </c>
      <c r="B1423" s="18">
        <v>0.538</v>
      </c>
      <c r="C1423" s="18">
        <v>1.3045</v>
      </c>
      <c r="D1423" s="16">
        <v>27163.39</v>
      </c>
      <c r="E1423" s="18">
        <v>0.8915</v>
      </c>
      <c r="F1423" s="18">
        <v>0.0516</v>
      </c>
      <c r="G1423" s="16">
        <v>3151178.59</v>
      </c>
      <c r="H1423" s="16">
        <v>3766713.34</v>
      </c>
      <c r="I1423" s="7" t="s">
        <v>125</v>
      </c>
    </row>
    <row r="1424" ht="15" customHeight="1">
      <c r="A1424" s="8">
        <v>1422</v>
      </c>
      <c r="B1424" s="19">
        <v>0.6017</v>
      </c>
      <c r="C1424" s="19">
        <v>1.0529</v>
      </c>
      <c r="D1424" s="17">
        <v>30069.29</v>
      </c>
      <c r="E1424" s="19">
        <v>0.8609</v>
      </c>
      <c r="F1424" s="19">
        <v>0.0902</v>
      </c>
      <c r="G1424" s="17">
        <v>2705557.7</v>
      </c>
      <c r="H1424" s="17">
        <v>3256863.89</v>
      </c>
      <c r="I1424" s="8" t="s">
        <v>125</v>
      </c>
    </row>
    <row r="1425" ht="15" customHeight="1">
      <c r="A1425" s="7">
        <v>1423</v>
      </c>
      <c r="B1425" s="18">
        <v>0.5145</v>
      </c>
      <c r="C1425" s="18">
        <v>0.8147</v>
      </c>
      <c r="D1425" s="16">
        <v>32101.38</v>
      </c>
      <c r="E1425" s="18">
        <v>0.9745</v>
      </c>
      <c r="F1425" s="18">
        <v>0.0283</v>
      </c>
      <c r="G1425" s="16">
        <v>1406142.49</v>
      </c>
      <c r="H1425" s="16">
        <v>1711867.97</v>
      </c>
      <c r="I1425" s="7" t="s">
        <v>125</v>
      </c>
    </row>
    <row r="1426" ht="15" customHeight="1">
      <c r="A1426" s="8">
        <v>1424</v>
      </c>
      <c r="B1426" s="19">
        <v>0.7913</v>
      </c>
      <c r="C1426" s="19">
        <v>1.174</v>
      </c>
      <c r="D1426" s="17">
        <v>27707.1</v>
      </c>
      <c r="E1426" s="19">
        <v>0.9257</v>
      </c>
      <c r="F1426" s="19">
        <v>0.1823</v>
      </c>
      <c r="G1426" s="17">
        <v>5872924.36</v>
      </c>
      <c r="H1426" s="17">
        <v>7040518.28</v>
      </c>
      <c r="I1426" s="8" t="s">
        <v>125</v>
      </c>
    </row>
    <row r="1427" ht="15" customHeight="1">
      <c r="A1427" s="7">
        <v>1425</v>
      </c>
      <c r="B1427" s="18">
        <v>0.5688</v>
      </c>
      <c r="C1427" s="18">
        <v>0.7193</v>
      </c>
      <c r="D1427" s="16">
        <v>33088.91</v>
      </c>
      <c r="E1427" s="18">
        <v>0.8877</v>
      </c>
      <c r="F1427" s="18">
        <v>0.1595</v>
      </c>
      <c r="G1427" s="16">
        <v>1534187.7</v>
      </c>
      <c r="H1427" s="16">
        <v>1894211.08</v>
      </c>
      <c r="I1427" s="7" t="s">
        <v>125</v>
      </c>
    </row>
    <row r="1428" ht="15" customHeight="1">
      <c r="A1428" s="8">
        <v>1426</v>
      </c>
      <c r="B1428" s="19">
        <v>0.6576</v>
      </c>
      <c r="C1428" s="19">
        <v>1.5698</v>
      </c>
      <c r="D1428" s="17">
        <v>45784.17</v>
      </c>
      <c r="E1428" s="19">
        <v>0.8896</v>
      </c>
      <c r="F1428" s="19">
        <v>0.0721</v>
      </c>
      <c r="G1428" s="17">
        <v>4784471.8</v>
      </c>
      <c r="H1428" s="17">
        <v>5699615.84</v>
      </c>
      <c r="I1428" s="8" t="s">
        <v>125</v>
      </c>
    </row>
    <row r="1429" ht="15" customHeight="1">
      <c r="A1429" s="7">
        <v>1427</v>
      </c>
      <c r="B1429" s="18">
        <v>0.5753</v>
      </c>
      <c r="C1429" s="18">
        <v>0.8598</v>
      </c>
      <c r="D1429" s="16">
        <v>30779.1</v>
      </c>
      <c r="E1429" s="18">
        <v>0.895</v>
      </c>
      <c r="F1429" s="18">
        <v>0.0678</v>
      </c>
      <c r="G1429" s="16">
        <v>1839369.35</v>
      </c>
      <c r="H1429" s="16">
        <v>2230642.89</v>
      </c>
      <c r="I1429" s="7" t="s">
        <v>125</v>
      </c>
    </row>
    <row r="1430" ht="15" customHeight="1">
      <c r="A1430" s="8">
        <v>1428</v>
      </c>
      <c r="B1430" s="19">
        <v>0.737</v>
      </c>
      <c r="C1430" s="19">
        <v>0.9553</v>
      </c>
      <c r="D1430" s="17">
        <v>30160.33</v>
      </c>
      <c r="E1430" s="19">
        <v>0.9305</v>
      </c>
      <c r="F1430" s="19">
        <v>0.1214</v>
      </c>
      <c r="G1430" s="17">
        <v>3704558.05</v>
      </c>
      <c r="H1430" s="17">
        <v>4446692.28</v>
      </c>
      <c r="I1430" s="8" t="s">
        <v>125</v>
      </c>
    </row>
    <row r="1431" ht="15" customHeight="1">
      <c r="A1431" s="7">
        <v>1429</v>
      </c>
      <c r="B1431" s="18">
        <v>0.647</v>
      </c>
      <c r="C1431" s="18">
        <v>1.2879</v>
      </c>
      <c r="D1431" s="16">
        <v>27722.91</v>
      </c>
      <c r="E1431" s="18">
        <v>0.8624</v>
      </c>
      <c r="F1431" s="18">
        <v>0.0367</v>
      </c>
      <c r="G1431" s="16">
        <v>3679117.72</v>
      </c>
      <c r="H1431" s="16">
        <v>4380551.96</v>
      </c>
      <c r="I1431" s="7" t="s">
        <v>125</v>
      </c>
    </row>
    <row r="1432" ht="15" customHeight="1">
      <c r="A1432" s="8">
        <v>1430</v>
      </c>
      <c r="B1432" s="19">
        <v>0.7438</v>
      </c>
      <c r="C1432" s="19">
        <v>1.059</v>
      </c>
      <c r="D1432" s="17">
        <v>21903.28</v>
      </c>
      <c r="E1432" s="19">
        <v>0.9238</v>
      </c>
      <c r="F1432" s="19">
        <v>0.0616</v>
      </c>
      <c r="G1432" s="17">
        <v>4088811.6</v>
      </c>
      <c r="H1432" s="17">
        <v>4871874.23</v>
      </c>
      <c r="I1432" s="8" t="s">
        <v>125</v>
      </c>
    </row>
    <row r="1433" ht="15" customHeight="1">
      <c r="A1433" s="7">
        <v>1431</v>
      </c>
      <c r="B1433" s="18">
        <v>0.7347</v>
      </c>
      <c r="C1433" s="18">
        <v>0.6464</v>
      </c>
      <c r="D1433" s="16">
        <v>28350.28</v>
      </c>
      <c r="E1433" s="18">
        <v>0.8694</v>
      </c>
      <c r="F1433" s="18">
        <v>0.1187</v>
      </c>
      <c r="G1433" s="16">
        <v>1906657.61</v>
      </c>
      <c r="H1433" s="16">
        <v>2322777.99</v>
      </c>
      <c r="I1433" s="7" t="s">
        <v>125</v>
      </c>
    </row>
    <row r="1434" ht="15" customHeight="1">
      <c r="A1434" s="8">
        <v>1432</v>
      </c>
      <c r="B1434" s="19">
        <v>0.4948</v>
      </c>
      <c r="C1434" s="19">
        <v>1.0217</v>
      </c>
      <c r="D1434" s="17">
        <v>24916.46</v>
      </c>
      <c r="E1434" s="19">
        <v>0.8787</v>
      </c>
      <c r="F1434" s="19">
        <v>0.0785</v>
      </c>
      <c r="G1434" s="17">
        <v>2076156.1</v>
      </c>
      <c r="H1434" s="17">
        <v>2510983.98</v>
      </c>
      <c r="I1434" s="8" t="s">
        <v>125</v>
      </c>
    </row>
    <row r="1435" ht="15" customHeight="1">
      <c r="A1435" s="7">
        <v>1433</v>
      </c>
      <c r="B1435" s="18">
        <v>0.3731</v>
      </c>
      <c r="C1435" s="18">
        <v>0.9299</v>
      </c>
      <c r="D1435" s="16">
        <v>33576.74</v>
      </c>
      <c r="E1435" s="18">
        <v>0.8485</v>
      </c>
      <c r="F1435" s="18">
        <v>0.0638</v>
      </c>
      <c r="G1435" s="16">
        <v>691489.59</v>
      </c>
      <c r="H1435" s="16">
        <v>880407.26</v>
      </c>
      <c r="I1435" s="7" t="s">
        <v>125</v>
      </c>
    </row>
    <row r="1436" ht="15" customHeight="1">
      <c r="A1436" s="8">
        <v>1434</v>
      </c>
      <c r="B1436" s="19">
        <v>0.598</v>
      </c>
      <c r="C1436" s="19">
        <v>0.57</v>
      </c>
      <c r="D1436" s="17">
        <v>30976.35</v>
      </c>
      <c r="E1436" s="19">
        <v>0.7855</v>
      </c>
      <c r="F1436" s="19">
        <v>0.0779</v>
      </c>
      <c r="G1436" s="17">
        <v>619400.86</v>
      </c>
      <c r="H1436" s="17">
        <v>797529.66</v>
      </c>
      <c r="I1436" s="8" t="s">
        <v>125</v>
      </c>
    </row>
    <row r="1437" ht="15" customHeight="1">
      <c r="A1437" s="7">
        <v>1435</v>
      </c>
      <c r="B1437" s="18">
        <v>0.5505</v>
      </c>
      <c r="C1437" s="18">
        <v>1.0038</v>
      </c>
      <c r="D1437" s="16">
        <v>26176.74</v>
      </c>
      <c r="E1437" s="18">
        <v>0.8458</v>
      </c>
      <c r="F1437" s="18">
        <v>0.0439</v>
      </c>
      <c r="G1437" s="16">
        <v>2050930.9</v>
      </c>
      <c r="H1437" s="16">
        <v>2471932.82</v>
      </c>
      <c r="I1437" s="7" t="s">
        <v>125</v>
      </c>
    </row>
    <row r="1438" ht="15" customHeight="1">
      <c r="A1438" s="8">
        <v>1436</v>
      </c>
      <c r="B1438" s="19">
        <v>0.548</v>
      </c>
      <c r="C1438" s="19">
        <v>0.8789</v>
      </c>
      <c r="D1438" s="17">
        <v>25141.43</v>
      </c>
      <c r="E1438" s="19">
        <v>0.9174</v>
      </c>
      <c r="F1438" s="19">
        <v>0.0783</v>
      </c>
      <c r="G1438" s="17">
        <v>2050909.37</v>
      </c>
      <c r="H1438" s="17">
        <v>2481258.83</v>
      </c>
      <c r="I1438" s="8" t="s">
        <v>125</v>
      </c>
    </row>
    <row r="1439" ht="15" customHeight="1">
      <c r="A1439" s="7">
        <v>1437</v>
      </c>
      <c r="B1439" s="18">
        <v>0.5258</v>
      </c>
      <c r="C1439" s="18">
        <v>1.2478</v>
      </c>
      <c r="D1439" s="16">
        <v>33789.86</v>
      </c>
      <c r="E1439" s="18">
        <v>0.8505</v>
      </c>
      <c r="F1439" s="18">
        <v>0.1291</v>
      </c>
      <c r="G1439" s="16">
        <v>2897075.5</v>
      </c>
      <c r="H1439" s="16">
        <v>3497247.13</v>
      </c>
      <c r="I1439" s="7" t="s">
        <v>125</v>
      </c>
    </row>
    <row r="1440" ht="15" customHeight="1">
      <c r="A1440" s="8">
        <v>1438</v>
      </c>
      <c r="B1440" s="19">
        <v>0.5097</v>
      </c>
      <c r="C1440" s="19">
        <v>1.1704</v>
      </c>
      <c r="D1440" s="17">
        <v>32904.57</v>
      </c>
      <c r="E1440" s="19">
        <v>0.8519</v>
      </c>
      <c r="F1440" s="19">
        <v>0.0882</v>
      </c>
      <c r="G1440" s="17">
        <v>2337605.76</v>
      </c>
      <c r="H1440" s="17">
        <v>2823482.5</v>
      </c>
      <c r="I1440" s="8" t="s">
        <v>125</v>
      </c>
    </row>
    <row r="1441" ht="15" customHeight="1">
      <c r="A1441" s="7">
        <v>1439</v>
      </c>
      <c r="B1441" s="18">
        <v>0.8217</v>
      </c>
      <c r="C1441" s="18">
        <v>0.6116</v>
      </c>
      <c r="D1441" s="16">
        <v>22722.75</v>
      </c>
      <c r="E1441" s="18">
        <v>0.9403</v>
      </c>
      <c r="F1441" s="18">
        <v>0.1527</v>
      </c>
      <c r="G1441" s="16">
        <v>2693483.12</v>
      </c>
      <c r="H1441" s="16">
        <v>3260112.8</v>
      </c>
      <c r="I1441" s="7" t="s">
        <v>125</v>
      </c>
    </row>
    <row r="1442" ht="15" customHeight="1">
      <c r="A1442" s="8">
        <v>1440</v>
      </c>
      <c r="B1442" s="19">
        <v>0.4825</v>
      </c>
      <c r="C1442" s="19">
        <v>1.0351</v>
      </c>
      <c r="D1442" s="17">
        <v>31515.94</v>
      </c>
      <c r="E1442" s="19">
        <v>0.842</v>
      </c>
      <c r="F1442" s="19">
        <v>0.0356</v>
      </c>
      <c r="G1442" s="17">
        <v>1533379.15</v>
      </c>
      <c r="H1442" s="17">
        <v>1862861.38</v>
      </c>
      <c r="I1442" s="8" t="s">
        <v>125</v>
      </c>
    </row>
    <row r="1443" ht="15" customHeight="1">
      <c r="A1443" s="7">
        <v>1441</v>
      </c>
      <c r="B1443" s="18">
        <v>0.6391</v>
      </c>
      <c r="C1443" s="18">
        <v>1.1978</v>
      </c>
      <c r="D1443" s="16">
        <v>27302.24</v>
      </c>
      <c r="E1443" s="18">
        <v>0.8181</v>
      </c>
      <c r="F1443" s="18">
        <v>0.1564</v>
      </c>
      <c r="G1443" s="16">
        <v>3793374.97</v>
      </c>
      <c r="H1443" s="16">
        <v>4564769.32</v>
      </c>
      <c r="I1443" s="7" t="s">
        <v>125</v>
      </c>
    </row>
    <row r="1444" ht="15" customHeight="1">
      <c r="A1444" s="8">
        <v>1442</v>
      </c>
      <c r="B1444" s="19">
        <v>0.4654</v>
      </c>
      <c r="C1444" s="19">
        <v>0.9251</v>
      </c>
      <c r="D1444" s="17">
        <v>26013.03</v>
      </c>
      <c r="E1444" s="19">
        <v>0.8141</v>
      </c>
      <c r="F1444" s="19">
        <v>0.0964</v>
      </c>
      <c r="G1444" s="17">
        <v>1429260.03</v>
      </c>
      <c r="H1444" s="17">
        <v>1753726.72</v>
      </c>
      <c r="I1444" s="8" t="s">
        <v>125</v>
      </c>
    </row>
    <row r="1445" ht="15" customHeight="1">
      <c r="A1445" s="7">
        <v>1443</v>
      </c>
      <c r="B1445" s="18">
        <v>0.5592</v>
      </c>
      <c r="C1445" s="18">
        <v>1.0571</v>
      </c>
      <c r="D1445" s="16">
        <v>29678.85</v>
      </c>
      <c r="E1445" s="18">
        <v>0.8998</v>
      </c>
      <c r="F1445" s="18">
        <v>0.1146</v>
      </c>
      <c r="G1445" s="16">
        <v>2746174.32</v>
      </c>
      <c r="H1445" s="16">
        <v>3312815.78</v>
      </c>
      <c r="I1445" s="7" t="s">
        <v>125</v>
      </c>
    </row>
    <row r="1446" ht="15" customHeight="1">
      <c r="A1446" s="8">
        <v>1444</v>
      </c>
      <c r="B1446" s="19">
        <v>0.66</v>
      </c>
      <c r="C1446" s="19">
        <v>0.7906</v>
      </c>
      <c r="D1446" s="17">
        <v>30388.62</v>
      </c>
      <c r="E1446" s="19">
        <v>0.8036</v>
      </c>
      <c r="F1446" s="19">
        <v>0.069</v>
      </c>
      <c r="G1446" s="17">
        <v>1690364.27</v>
      </c>
      <c r="H1446" s="17">
        <v>2055641.36</v>
      </c>
      <c r="I1446" s="8" t="s">
        <v>125</v>
      </c>
    </row>
    <row r="1447" ht="15" customHeight="1">
      <c r="A1447" s="7">
        <v>1445</v>
      </c>
      <c r="B1447" s="18">
        <v>0.5678</v>
      </c>
      <c r="C1447" s="18">
        <v>0.8736</v>
      </c>
      <c r="D1447" s="16">
        <v>28728.66</v>
      </c>
      <c r="E1447" s="18">
        <v>0.938</v>
      </c>
      <c r="F1447" s="18">
        <v>0.1142</v>
      </c>
      <c r="G1447" s="16">
        <v>2271115.91</v>
      </c>
      <c r="H1447" s="16">
        <v>2751795.15</v>
      </c>
      <c r="I1447" s="7" t="s">
        <v>125</v>
      </c>
    </row>
    <row r="1448" ht="15" customHeight="1">
      <c r="A1448" s="8">
        <v>1446</v>
      </c>
      <c r="B1448" s="19">
        <v>0.6453</v>
      </c>
      <c r="C1448" s="19">
        <v>1.268</v>
      </c>
      <c r="D1448" s="17">
        <v>23527.65</v>
      </c>
      <c r="E1448" s="19">
        <v>0.9618</v>
      </c>
      <c r="F1448" s="19">
        <v>0.14</v>
      </c>
      <c r="G1448" s="17">
        <v>5057231.08</v>
      </c>
      <c r="H1448" s="17">
        <v>6050865.5</v>
      </c>
      <c r="I1448" s="8" t="s">
        <v>125</v>
      </c>
    </row>
    <row r="1449" ht="15" customHeight="1">
      <c r="A1449" s="7">
        <v>1447</v>
      </c>
      <c r="B1449" s="18">
        <v>0.3464</v>
      </c>
      <c r="C1449" s="18">
        <v>0.935</v>
      </c>
      <c r="D1449" s="16">
        <v>31974.65</v>
      </c>
      <c r="E1449" s="18">
        <v>0.7737</v>
      </c>
      <c r="F1449" s="18">
        <v>0.0247</v>
      </c>
      <c r="G1449" s="16">
        <v>341284.77</v>
      </c>
      <c r="H1449" s="16">
        <v>462614.86</v>
      </c>
      <c r="I1449" s="7" t="s">
        <v>125</v>
      </c>
    </row>
    <row r="1450" ht="15" customHeight="1">
      <c r="A1450" s="8">
        <v>1448</v>
      </c>
      <c r="B1450" s="19">
        <v>0.6709</v>
      </c>
      <c r="C1450" s="19">
        <v>0.9617</v>
      </c>
      <c r="D1450" s="17">
        <v>29581.93</v>
      </c>
      <c r="E1450" s="19">
        <v>0.9013</v>
      </c>
      <c r="F1450" s="19">
        <v>0.1032</v>
      </c>
      <c r="G1450" s="17">
        <v>3057927.65</v>
      </c>
      <c r="H1450" s="17">
        <v>3676587.5</v>
      </c>
      <c r="I1450" s="8" t="s">
        <v>125</v>
      </c>
    </row>
    <row r="1451" ht="15" customHeight="1">
      <c r="A1451" s="7">
        <v>1449</v>
      </c>
      <c r="B1451" s="18">
        <v>0.5872</v>
      </c>
      <c r="C1451" s="18">
        <v>0.8318</v>
      </c>
      <c r="D1451" s="16">
        <v>29279.61</v>
      </c>
      <c r="E1451" s="18">
        <v>0.8847</v>
      </c>
      <c r="F1451" s="18">
        <v>0.0987</v>
      </c>
      <c r="G1451" s="16">
        <v>1939191.58</v>
      </c>
      <c r="H1451" s="16">
        <v>2356167.57</v>
      </c>
      <c r="I1451" s="7" t="s">
        <v>125</v>
      </c>
    </row>
    <row r="1452" ht="15" customHeight="1">
      <c r="A1452" s="8">
        <v>1450</v>
      </c>
      <c r="B1452" s="19">
        <v>0.6683</v>
      </c>
      <c r="C1452" s="19">
        <v>0.7398</v>
      </c>
      <c r="D1452" s="17">
        <v>23175.16</v>
      </c>
      <c r="E1452" s="19">
        <v>0.8101</v>
      </c>
      <c r="F1452" s="19">
        <v>0.1342</v>
      </c>
      <c r="G1452" s="17">
        <v>2034925.55</v>
      </c>
      <c r="H1452" s="17">
        <v>2476485.94</v>
      </c>
      <c r="I1452" s="8" t="s">
        <v>125</v>
      </c>
    </row>
    <row r="1453" ht="15" customHeight="1">
      <c r="A1453" s="7">
        <v>1451</v>
      </c>
      <c r="B1453" s="18">
        <v>0.8374</v>
      </c>
      <c r="C1453" s="18">
        <v>1.1132</v>
      </c>
      <c r="D1453" s="16">
        <v>31989.5</v>
      </c>
      <c r="E1453" s="18">
        <v>0.7962</v>
      </c>
      <c r="F1453" s="18">
        <v>0.1679</v>
      </c>
      <c r="G1453" s="16">
        <v>4660477.77</v>
      </c>
      <c r="H1453" s="16">
        <v>5598375.97</v>
      </c>
      <c r="I1453" s="7" t="s">
        <v>125</v>
      </c>
    </row>
    <row r="1454" ht="15" customHeight="1">
      <c r="A1454" s="8">
        <v>1452</v>
      </c>
      <c r="B1454" s="19">
        <v>0.4551</v>
      </c>
      <c r="C1454" s="19">
        <v>1.2342</v>
      </c>
      <c r="D1454" s="17">
        <v>28959.02</v>
      </c>
      <c r="E1454" s="19">
        <v>0.8697</v>
      </c>
      <c r="F1454" s="19">
        <v>0.1001</v>
      </c>
      <c r="G1454" s="17">
        <v>2371862.91</v>
      </c>
      <c r="H1454" s="17">
        <v>2866500.18</v>
      </c>
      <c r="I1454" s="8" t="s">
        <v>125</v>
      </c>
    </row>
    <row r="1455" ht="15" customHeight="1">
      <c r="A1455" s="7">
        <v>1453</v>
      </c>
      <c r="B1455" s="18">
        <v>0.6685</v>
      </c>
      <c r="C1455" s="18">
        <v>1.2261</v>
      </c>
      <c r="D1455" s="16">
        <v>30944.32</v>
      </c>
      <c r="E1455" s="18">
        <v>0.8157</v>
      </c>
      <c r="F1455" s="18">
        <v>0.0917</v>
      </c>
      <c r="G1455" s="16">
        <v>3587919.33</v>
      </c>
      <c r="H1455" s="16">
        <v>4297156.4</v>
      </c>
      <c r="I1455" s="7" t="s">
        <v>125</v>
      </c>
    </row>
    <row r="1456" ht="15" customHeight="1">
      <c r="A1456" s="8">
        <v>1454</v>
      </c>
      <c r="B1456" s="19">
        <v>0.6189</v>
      </c>
      <c r="C1456" s="19">
        <v>1.28</v>
      </c>
      <c r="D1456" s="17">
        <v>30211.18</v>
      </c>
      <c r="E1456" s="19">
        <v>0.8959</v>
      </c>
      <c r="F1456" s="19">
        <v>0.1361</v>
      </c>
      <c r="G1456" s="17">
        <v>4222174.74</v>
      </c>
      <c r="H1456" s="17">
        <v>5064468.65</v>
      </c>
      <c r="I1456" s="8" t="s">
        <v>125</v>
      </c>
    </row>
    <row r="1457" ht="15" customHeight="1">
      <c r="A1457" s="7">
        <v>1455</v>
      </c>
      <c r="B1457" s="18">
        <v>0.3925</v>
      </c>
      <c r="C1457" s="18">
        <v>0.9426</v>
      </c>
      <c r="D1457" s="16">
        <v>26536.44</v>
      </c>
      <c r="E1457" s="18">
        <v>0.9256</v>
      </c>
      <c r="F1457" s="18">
        <v>0.0139</v>
      </c>
      <c r="G1457" s="16">
        <v>1088980.49</v>
      </c>
      <c r="H1457" s="16">
        <v>1336589.91</v>
      </c>
      <c r="I1457" s="7" t="s">
        <v>125</v>
      </c>
    </row>
    <row r="1458" ht="15" customHeight="1">
      <c r="A1458" s="8">
        <v>1456</v>
      </c>
      <c r="B1458" s="19">
        <v>0.4025</v>
      </c>
      <c r="C1458" s="19">
        <v>0.9813</v>
      </c>
      <c r="D1458" s="17">
        <v>27012.85</v>
      </c>
      <c r="E1458" s="19">
        <v>0.8741</v>
      </c>
      <c r="F1458" s="19">
        <v>0.1182</v>
      </c>
      <c r="G1458" s="17">
        <v>1433289.37</v>
      </c>
      <c r="H1458" s="17">
        <v>1763472.22</v>
      </c>
      <c r="I1458" s="8" t="s">
        <v>125</v>
      </c>
    </row>
    <row r="1459" ht="15" customHeight="1">
      <c r="A1459" s="7">
        <v>1457</v>
      </c>
      <c r="B1459" s="18">
        <v>0.6403</v>
      </c>
      <c r="C1459" s="18">
        <v>0.8306</v>
      </c>
      <c r="D1459" s="16">
        <v>28367.47</v>
      </c>
      <c r="E1459" s="18">
        <v>0.8796</v>
      </c>
      <c r="F1459" s="18">
        <v>0.1062</v>
      </c>
      <c r="G1459" s="16">
        <v>2264770.58</v>
      </c>
      <c r="H1459" s="16">
        <v>2741895.14</v>
      </c>
      <c r="I1459" s="7" t="s">
        <v>125</v>
      </c>
    </row>
    <row r="1460" ht="15" customHeight="1">
      <c r="A1460" s="8">
        <v>1458</v>
      </c>
      <c r="B1460" s="19">
        <v>0.5131</v>
      </c>
      <c r="C1460" s="19">
        <v>0.8977</v>
      </c>
      <c r="D1460" s="17">
        <v>27520.56</v>
      </c>
      <c r="E1460" s="19">
        <v>0.9202</v>
      </c>
      <c r="F1460" s="19">
        <v>0.1435</v>
      </c>
      <c r="G1460" s="17">
        <v>2120753.45</v>
      </c>
      <c r="H1460" s="17">
        <v>2581942.01</v>
      </c>
      <c r="I1460" s="8" t="s">
        <v>125</v>
      </c>
    </row>
    <row r="1461" ht="15" customHeight="1">
      <c r="A1461" s="7">
        <v>1459</v>
      </c>
      <c r="B1461" s="18">
        <v>0.7455</v>
      </c>
      <c r="C1461" s="18">
        <v>0.9848</v>
      </c>
      <c r="D1461" s="16">
        <v>33026.27</v>
      </c>
      <c r="E1461" s="18">
        <v>0.9252</v>
      </c>
      <c r="F1461" s="18">
        <v>0.1023</v>
      </c>
      <c r="G1461" s="16">
        <v>3672188.92</v>
      </c>
      <c r="H1461" s="16">
        <v>4401440.44</v>
      </c>
      <c r="I1461" s="7" t="s">
        <v>125</v>
      </c>
    </row>
    <row r="1462" ht="15" customHeight="1">
      <c r="A1462" s="8">
        <v>1460</v>
      </c>
      <c r="B1462" s="19">
        <v>0.357</v>
      </c>
      <c r="C1462" s="19">
        <v>0.9365</v>
      </c>
      <c r="D1462" s="17">
        <v>44829.07</v>
      </c>
      <c r="E1462" s="19">
        <v>0.9564</v>
      </c>
      <c r="F1462" s="19">
        <v>0.0915</v>
      </c>
      <c r="G1462" s="17">
        <v>608583.19</v>
      </c>
      <c r="H1462" s="17">
        <v>790436.14</v>
      </c>
      <c r="I1462" s="8" t="s">
        <v>125</v>
      </c>
    </row>
    <row r="1463" ht="15" customHeight="1">
      <c r="A1463" s="7">
        <v>1461</v>
      </c>
      <c r="B1463" s="18">
        <v>0.6133</v>
      </c>
      <c r="C1463" s="18">
        <v>1.0416</v>
      </c>
      <c r="D1463" s="16">
        <v>34481.73</v>
      </c>
      <c r="E1463" s="18">
        <v>0.92</v>
      </c>
      <c r="F1463" s="18">
        <v>0.0556</v>
      </c>
      <c r="G1463" s="16">
        <v>2685465.64</v>
      </c>
      <c r="H1463" s="16">
        <v>3222096</v>
      </c>
      <c r="I1463" s="7" t="s">
        <v>125</v>
      </c>
    </row>
    <row r="1464" ht="15" customHeight="1">
      <c r="A1464" s="8">
        <v>1462</v>
      </c>
      <c r="B1464" s="19">
        <v>0.7321</v>
      </c>
      <c r="C1464" s="19">
        <v>0.897</v>
      </c>
      <c r="D1464" s="17">
        <v>32191.94</v>
      </c>
      <c r="E1464" s="19">
        <v>0.9033</v>
      </c>
      <c r="F1464" s="19">
        <v>0.1211</v>
      </c>
      <c r="G1464" s="17">
        <v>3169315.65</v>
      </c>
      <c r="H1464" s="17">
        <v>3815321.98</v>
      </c>
      <c r="I1464" s="8" t="s">
        <v>125</v>
      </c>
    </row>
    <row r="1465" ht="15" customHeight="1">
      <c r="A1465" s="7">
        <v>1463</v>
      </c>
      <c r="B1465" s="18">
        <v>0.583</v>
      </c>
      <c r="C1465" s="18">
        <v>0.8985</v>
      </c>
      <c r="D1465" s="16">
        <v>25714.83</v>
      </c>
      <c r="E1465" s="18">
        <v>0.8938</v>
      </c>
      <c r="F1465" s="18">
        <v>0.0803</v>
      </c>
      <c r="G1465" s="16">
        <v>2231294.32</v>
      </c>
      <c r="H1465" s="16">
        <v>2694268.34</v>
      </c>
      <c r="I1465" s="7" t="s">
        <v>125</v>
      </c>
    </row>
    <row r="1466" ht="15" customHeight="1">
      <c r="A1466" s="8">
        <v>1464</v>
      </c>
      <c r="B1466" s="19">
        <v>0.6726</v>
      </c>
      <c r="C1466" s="19">
        <v>0.4608</v>
      </c>
      <c r="D1466" s="17">
        <v>30582.58</v>
      </c>
      <c r="E1466" s="19">
        <v>0.9137</v>
      </c>
      <c r="F1466" s="19">
        <v>0.1363</v>
      </c>
      <c r="G1466" s="17">
        <v>904974.94</v>
      </c>
      <c r="H1466" s="17">
        <v>1144258.36</v>
      </c>
      <c r="I1466" s="8" t="s">
        <v>125</v>
      </c>
    </row>
    <row r="1467" ht="15" customHeight="1">
      <c r="A1467" s="7">
        <v>1465</v>
      </c>
      <c r="B1467" s="18">
        <v>0.7074</v>
      </c>
      <c r="C1467" s="18">
        <v>1.1387</v>
      </c>
      <c r="D1467" s="16">
        <v>22676.16</v>
      </c>
      <c r="E1467" s="18">
        <v>0.8222</v>
      </c>
      <c r="F1467" s="18">
        <v>0.0641</v>
      </c>
      <c r="G1467" s="16">
        <v>3620849.01</v>
      </c>
      <c r="H1467" s="16">
        <v>4322860.48</v>
      </c>
      <c r="I1467" s="7" t="s">
        <v>125</v>
      </c>
    </row>
    <row r="1468" ht="15" customHeight="1">
      <c r="A1468" s="8">
        <v>1466</v>
      </c>
      <c r="B1468" s="19">
        <v>0.7436</v>
      </c>
      <c r="C1468" s="19">
        <v>1.2418</v>
      </c>
      <c r="D1468" s="17">
        <v>33855.01</v>
      </c>
      <c r="E1468" s="19">
        <v>0.9271</v>
      </c>
      <c r="F1468" s="19">
        <v>0.0461</v>
      </c>
      <c r="G1468" s="17">
        <v>4498562.78</v>
      </c>
      <c r="H1468" s="17">
        <v>5347583.62</v>
      </c>
      <c r="I1468" s="8" t="s">
        <v>125</v>
      </c>
    </row>
    <row r="1469" ht="15" customHeight="1">
      <c r="A1469" s="7">
        <v>1467</v>
      </c>
      <c r="B1469" s="18">
        <v>0.6769</v>
      </c>
      <c r="C1469" s="18">
        <v>1.2238</v>
      </c>
      <c r="D1469" s="16">
        <v>27918.44</v>
      </c>
      <c r="E1469" s="18">
        <v>0.8989</v>
      </c>
      <c r="F1469" s="18">
        <v>0.1047</v>
      </c>
      <c r="G1469" s="16">
        <v>4331119.89</v>
      </c>
      <c r="H1469" s="16">
        <v>5178056.51</v>
      </c>
      <c r="I1469" s="7" t="s">
        <v>125</v>
      </c>
    </row>
    <row r="1470" ht="15" customHeight="1">
      <c r="A1470" s="8">
        <v>1468</v>
      </c>
      <c r="B1470" s="19">
        <v>0.4806</v>
      </c>
      <c r="C1470" s="19">
        <v>0.9752</v>
      </c>
      <c r="D1470" s="17">
        <v>33840.72</v>
      </c>
      <c r="E1470" s="19">
        <v>0.9589</v>
      </c>
      <c r="F1470" s="19">
        <v>0.094</v>
      </c>
      <c r="G1470" s="17">
        <v>1905611.4</v>
      </c>
      <c r="H1470" s="17">
        <v>2316502.58</v>
      </c>
      <c r="I1470" s="8" t="s">
        <v>125</v>
      </c>
    </row>
    <row r="1471" ht="15" customHeight="1">
      <c r="A1471" s="7">
        <v>1469</v>
      </c>
      <c r="B1471" s="18">
        <v>0.6356</v>
      </c>
      <c r="C1471" s="18">
        <v>0.8008</v>
      </c>
      <c r="D1471" s="16">
        <v>31844.38</v>
      </c>
      <c r="E1471" s="18">
        <v>0.947</v>
      </c>
      <c r="F1471" s="18">
        <v>0.1156</v>
      </c>
      <c r="G1471" s="16">
        <v>2308257.24</v>
      </c>
      <c r="H1471" s="16">
        <v>2797009.58</v>
      </c>
      <c r="I1471" s="7" t="s">
        <v>125</v>
      </c>
    </row>
    <row r="1472" ht="15" customHeight="1">
      <c r="A1472" s="8">
        <v>1470</v>
      </c>
      <c r="B1472" s="19">
        <v>0.4551</v>
      </c>
      <c r="C1472" s="19">
        <v>0.9243</v>
      </c>
      <c r="D1472" s="17">
        <v>32761.34</v>
      </c>
      <c r="E1472" s="19">
        <v>0.9059</v>
      </c>
      <c r="F1472" s="19">
        <v>0.0739</v>
      </c>
      <c r="G1472" s="17">
        <v>1363913.76</v>
      </c>
      <c r="H1472" s="17">
        <v>1673255.58</v>
      </c>
      <c r="I1472" s="8" t="s">
        <v>125</v>
      </c>
    </row>
    <row r="1473" ht="15" customHeight="1">
      <c r="A1473" s="7">
        <v>1471</v>
      </c>
      <c r="B1473" s="18">
        <v>0.4271</v>
      </c>
      <c r="C1473" s="18">
        <v>0.8187</v>
      </c>
      <c r="D1473" s="16">
        <v>20688.4</v>
      </c>
      <c r="E1473" s="18">
        <v>0.7805</v>
      </c>
      <c r="F1473" s="18">
        <v>0.082</v>
      </c>
      <c r="G1473" s="16">
        <v>983568.52</v>
      </c>
      <c r="H1473" s="16">
        <v>1224651.69</v>
      </c>
      <c r="I1473" s="7" t="s">
        <v>125</v>
      </c>
    </row>
    <row r="1474" ht="15" customHeight="1">
      <c r="A1474" s="8">
        <v>1472</v>
      </c>
      <c r="B1474" s="19">
        <v>0.4653</v>
      </c>
      <c r="C1474" s="19">
        <v>1.0371</v>
      </c>
      <c r="D1474" s="17">
        <v>24780.45</v>
      </c>
      <c r="E1474" s="19">
        <v>0.9462</v>
      </c>
      <c r="F1474" s="19">
        <v>0.1061</v>
      </c>
      <c r="G1474" s="17">
        <v>2290428.45</v>
      </c>
      <c r="H1474" s="17">
        <v>2771082.03</v>
      </c>
      <c r="I1474" s="8" t="s">
        <v>125</v>
      </c>
    </row>
    <row r="1475" ht="15" customHeight="1">
      <c r="A1475" s="7">
        <v>1473</v>
      </c>
      <c r="B1475" s="18">
        <v>0.5839</v>
      </c>
      <c r="C1475" s="18">
        <v>1.0413</v>
      </c>
      <c r="D1475" s="16">
        <v>27306.4</v>
      </c>
      <c r="E1475" s="18">
        <v>0.9293</v>
      </c>
      <c r="F1475" s="18">
        <v>0.093</v>
      </c>
      <c r="G1475" s="16">
        <v>2949472.43</v>
      </c>
      <c r="H1475" s="16">
        <v>3544502.59</v>
      </c>
      <c r="I1475" s="7" t="s">
        <v>125</v>
      </c>
    </row>
    <row r="1476" ht="15" customHeight="1">
      <c r="A1476" s="8">
        <v>1474</v>
      </c>
      <c r="B1476" s="19">
        <v>0.3266</v>
      </c>
      <c r="C1476" s="19">
        <v>1.3672</v>
      </c>
      <c r="D1476" s="17">
        <v>21494.05</v>
      </c>
      <c r="E1476" s="19">
        <v>0.8221</v>
      </c>
      <c r="F1476" s="19">
        <v>0.1331</v>
      </c>
      <c r="G1476" s="17">
        <v>1823880.66</v>
      </c>
      <c r="H1476" s="17">
        <v>2226245.81</v>
      </c>
      <c r="I1476" s="8" t="s">
        <v>125</v>
      </c>
    </row>
    <row r="1477" ht="15" customHeight="1">
      <c r="A1477" s="7">
        <v>1475</v>
      </c>
      <c r="B1477" s="18">
        <v>0.5589</v>
      </c>
      <c r="C1477" s="18">
        <v>1.0361</v>
      </c>
      <c r="D1477" s="16">
        <v>27602.8</v>
      </c>
      <c r="E1477" s="18">
        <v>0.8577</v>
      </c>
      <c r="F1477" s="18">
        <v>0.1432</v>
      </c>
      <c r="G1477" s="16">
        <v>2686989.51</v>
      </c>
      <c r="H1477" s="16">
        <v>3251417.1</v>
      </c>
      <c r="I1477" s="7" t="s">
        <v>125</v>
      </c>
    </row>
    <row r="1478" ht="15" customHeight="1">
      <c r="A1478" s="8">
        <v>1476</v>
      </c>
      <c r="B1478" s="19">
        <v>0.6026</v>
      </c>
      <c r="C1478" s="19">
        <v>1.0562</v>
      </c>
      <c r="D1478" s="17">
        <v>32909.27</v>
      </c>
      <c r="E1478" s="19">
        <v>0.9093</v>
      </c>
      <c r="F1478" s="19">
        <v>0.0614</v>
      </c>
      <c r="G1478" s="17">
        <v>2702541.92</v>
      </c>
      <c r="H1478" s="17">
        <v>3243972.38</v>
      </c>
      <c r="I1478" s="8" t="s">
        <v>125</v>
      </c>
    </row>
    <row r="1479" ht="15" customHeight="1">
      <c r="A1479" s="7">
        <v>1477</v>
      </c>
      <c r="B1479" s="18">
        <v>0.6863</v>
      </c>
      <c r="C1479" s="18">
        <v>1.2484</v>
      </c>
      <c r="D1479" s="16">
        <v>27154.07</v>
      </c>
      <c r="E1479" s="18">
        <v>0.9163</v>
      </c>
      <c r="F1479" s="18">
        <v>0.1677</v>
      </c>
      <c r="G1479" s="16">
        <v>5153996.99</v>
      </c>
      <c r="H1479" s="16">
        <v>6180676.49</v>
      </c>
      <c r="I1479" s="7" t="s">
        <v>125</v>
      </c>
    </row>
    <row r="1480" ht="15" customHeight="1">
      <c r="A1480" s="8">
        <v>1478</v>
      </c>
      <c r="B1480" s="19">
        <v>0.6666</v>
      </c>
      <c r="C1480" s="19">
        <v>1.1428</v>
      </c>
      <c r="D1480" s="17">
        <v>21142.11</v>
      </c>
      <c r="E1480" s="19">
        <v>0.9534</v>
      </c>
      <c r="F1480" s="19">
        <v>0.1809</v>
      </c>
      <c r="G1480" s="17">
        <v>4963639.42</v>
      </c>
      <c r="H1480" s="17">
        <v>5958764.67</v>
      </c>
      <c r="I1480" s="8" t="s">
        <v>125</v>
      </c>
    </row>
    <row r="1481" ht="15" customHeight="1">
      <c r="A1481" s="7">
        <v>1479</v>
      </c>
      <c r="B1481" s="18">
        <v>0.6297</v>
      </c>
      <c r="C1481" s="18">
        <v>1.1054</v>
      </c>
      <c r="D1481" s="16">
        <v>34939.59</v>
      </c>
      <c r="E1481" s="18">
        <v>0.7811</v>
      </c>
      <c r="F1481" s="18">
        <v>0.13</v>
      </c>
      <c r="G1481" s="16">
        <v>2756967.32</v>
      </c>
      <c r="H1481" s="16">
        <v>3332471.25</v>
      </c>
      <c r="I1481" s="7" t="s">
        <v>125</v>
      </c>
    </row>
    <row r="1482" ht="15" customHeight="1">
      <c r="A1482" s="8">
        <v>1480</v>
      </c>
      <c r="B1482" s="19">
        <v>0.6453</v>
      </c>
      <c r="C1482" s="19">
        <v>0.9944</v>
      </c>
      <c r="D1482" s="17">
        <v>34155.77</v>
      </c>
      <c r="E1482" s="19">
        <v>0.888</v>
      </c>
      <c r="F1482" s="19">
        <v>0.123</v>
      </c>
      <c r="G1482" s="17">
        <v>2941676.77</v>
      </c>
      <c r="H1482" s="17">
        <v>3547888.72</v>
      </c>
      <c r="I1482" s="8" t="s">
        <v>125</v>
      </c>
    </row>
    <row r="1483" ht="15" customHeight="1">
      <c r="A1483" s="7">
        <v>1481</v>
      </c>
      <c r="B1483" s="18">
        <v>0.8178</v>
      </c>
      <c r="C1483" s="18">
        <v>1.0081</v>
      </c>
      <c r="D1483" s="16">
        <v>20539.8</v>
      </c>
      <c r="E1483" s="18">
        <v>0.9409</v>
      </c>
      <c r="F1483" s="18">
        <v>0.057</v>
      </c>
      <c r="G1483" s="16">
        <v>4434189.24</v>
      </c>
      <c r="H1483" s="16">
        <v>5275486.97</v>
      </c>
      <c r="I1483" s="7" t="s">
        <v>125</v>
      </c>
    </row>
    <row r="1484" ht="15" customHeight="1">
      <c r="A1484" s="8">
        <v>1482</v>
      </c>
      <c r="B1484" s="19">
        <v>0.5645</v>
      </c>
      <c r="C1484" s="19">
        <v>0.9788</v>
      </c>
      <c r="D1484" s="17">
        <v>28714.43</v>
      </c>
      <c r="E1484" s="19">
        <v>0.9444</v>
      </c>
      <c r="F1484" s="19">
        <v>0.0953</v>
      </c>
      <c r="G1484" s="17">
        <v>2601217.96</v>
      </c>
      <c r="H1484" s="17">
        <v>3135280.44</v>
      </c>
      <c r="I1484" s="8" t="s">
        <v>125</v>
      </c>
    </row>
    <row r="1485" ht="15" customHeight="1">
      <c r="A1485" s="7">
        <v>1483</v>
      </c>
      <c r="B1485" s="18">
        <v>0.4126</v>
      </c>
      <c r="C1485" s="18">
        <v>1.3011</v>
      </c>
      <c r="D1485" s="16">
        <v>21178.73</v>
      </c>
      <c r="E1485" s="18">
        <v>0.884</v>
      </c>
      <c r="F1485" s="18">
        <v>0.1287</v>
      </c>
      <c r="G1485" s="16">
        <v>2642278.06</v>
      </c>
      <c r="H1485" s="16">
        <v>3191826.11</v>
      </c>
      <c r="I1485" s="7" t="s">
        <v>125</v>
      </c>
    </row>
    <row r="1486" ht="15" customHeight="1">
      <c r="A1486" s="8">
        <v>1484</v>
      </c>
      <c r="B1486" s="19">
        <v>0.4662</v>
      </c>
      <c r="C1486" s="19">
        <v>1.0155</v>
      </c>
      <c r="D1486" s="17">
        <v>28871.59</v>
      </c>
      <c r="E1486" s="19">
        <v>0.8443</v>
      </c>
      <c r="F1486" s="19">
        <v>0.1242</v>
      </c>
      <c r="G1486" s="17">
        <v>1812897.37</v>
      </c>
      <c r="H1486" s="17">
        <v>2213640.54</v>
      </c>
      <c r="I1486" s="8" t="s">
        <v>125</v>
      </c>
    </row>
    <row r="1487" ht="15" customHeight="1">
      <c r="A1487" s="7">
        <v>1485</v>
      </c>
      <c r="B1487" s="18">
        <v>0.5501</v>
      </c>
      <c r="C1487" s="18">
        <v>0.8999</v>
      </c>
      <c r="D1487" s="16">
        <v>28225.69</v>
      </c>
      <c r="E1487" s="18">
        <v>0.7825</v>
      </c>
      <c r="F1487" s="18">
        <v>0.0205</v>
      </c>
      <c r="G1487" s="16">
        <v>1355882.1</v>
      </c>
      <c r="H1487" s="16">
        <v>1650824.82</v>
      </c>
      <c r="I1487" s="7" t="s">
        <v>125</v>
      </c>
    </row>
    <row r="1488" ht="15" customHeight="1">
      <c r="A1488" s="8">
        <v>1486</v>
      </c>
      <c r="B1488" s="19">
        <v>0.7015</v>
      </c>
      <c r="C1488" s="19">
        <v>1.0363</v>
      </c>
      <c r="D1488" s="17">
        <v>24638.62</v>
      </c>
      <c r="E1488" s="19">
        <v>0.9434</v>
      </c>
      <c r="F1488" s="19">
        <v>0.0755</v>
      </c>
      <c r="G1488" s="17">
        <v>3800687.08</v>
      </c>
      <c r="H1488" s="17">
        <v>4539479.66</v>
      </c>
      <c r="I1488" s="8" t="s">
        <v>125</v>
      </c>
    </row>
    <row r="1489" ht="15" customHeight="1">
      <c r="A1489" s="7">
        <v>1487</v>
      </c>
      <c r="B1489" s="18">
        <v>0.5894</v>
      </c>
      <c r="C1489" s="18">
        <v>0.9318</v>
      </c>
      <c r="D1489" s="16">
        <v>30474.77</v>
      </c>
      <c r="E1489" s="18">
        <v>0.8319</v>
      </c>
      <c r="F1489" s="18">
        <v>0.1493</v>
      </c>
      <c r="G1489" s="16">
        <v>2315347.36</v>
      </c>
      <c r="H1489" s="16">
        <v>2814840.04</v>
      </c>
      <c r="I1489" s="7" t="s">
        <v>125</v>
      </c>
    </row>
    <row r="1490" ht="15" customHeight="1">
      <c r="A1490" s="8">
        <v>1488</v>
      </c>
      <c r="B1490" s="19">
        <v>0.798</v>
      </c>
      <c r="C1490" s="19">
        <v>1.1073</v>
      </c>
      <c r="D1490" s="17">
        <v>27290.44</v>
      </c>
      <c r="E1490" s="19">
        <v>0.9338</v>
      </c>
      <c r="F1490" s="19">
        <v>0.0554</v>
      </c>
      <c r="G1490" s="17">
        <v>4560402.88</v>
      </c>
      <c r="H1490" s="17">
        <v>5424069.56</v>
      </c>
      <c r="I1490" s="8" t="s">
        <v>125</v>
      </c>
    </row>
    <row r="1491" ht="15" customHeight="1">
      <c r="A1491" s="7">
        <v>1489</v>
      </c>
      <c r="B1491" s="18">
        <v>0.6224</v>
      </c>
      <c r="C1491" s="18">
        <v>0.7852</v>
      </c>
      <c r="D1491" s="16">
        <v>30920.09</v>
      </c>
      <c r="E1491" s="18">
        <v>0.9198</v>
      </c>
      <c r="F1491" s="18">
        <v>0.0411</v>
      </c>
      <c r="G1491" s="16">
        <v>1770976.67</v>
      </c>
      <c r="H1491" s="16">
        <v>2143087.8</v>
      </c>
      <c r="I1491" s="7" t="s">
        <v>125</v>
      </c>
    </row>
    <row r="1492" ht="15" customHeight="1">
      <c r="A1492" s="8">
        <v>1490</v>
      </c>
      <c r="B1492" s="19">
        <v>0.6844</v>
      </c>
      <c r="C1492" s="19">
        <v>0.835</v>
      </c>
      <c r="D1492" s="17">
        <v>29776.72</v>
      </c>
      <c r="E1492" s="19">
        <v>0.9339</v>
      </c>
      <c r="F1492" s="19">
        <v>0.0891</v>
      </c>
      <c r="G1492" s="17">
        <v>2623824.92</v>
      </c>
      <c r="H1492" s="17">
        <v>3160140.63</v>
      </c>
      <c r="I1492" s="8" t="s">
        <v>125</v>
      </c>
    </row>
    <row r="1493" ht="15" customHeight="1">
      <c r="A1493" s="7">
        <v>1491</v>
      </c>
      <c r="B1493" s="18">
        <v>0.7272</v>
      </c>
      <c r="C1493" s="18">
        <v>1.0764</v>
      </c>
      <c r="D1493" s="16">
        <v>35991.6</v>
      </c>
      <c r="E1493" s="18">
        <v>0.8156</v>
      </c>
      <c r="F1493" s="18">
        <v>0.0699</v>
      </c>
      <c r="G1493" s="16">
        <v>3078617.96</v>
      </c>
      <c r="H1493" s="16">
        <v>3689925.18</v>
      </c>
      <c r="I1493" s="7" t="s">
        <v>125</v>
      </c>
    </row>
    <row r="1494" ht="15" customHeight="1">
      <c r="A1494" s="8">
        <v>1492</v>
      </c>
      <c r="B1494" s="19">
        <v>0.6875</v>
      </c>
      <c r="C1494" s="19">
        <v>0.7139</v>
      </c>
      <c r="D1494" s="17">
        <v>30336.32</v>
      </c>
      <c r="E1494" s="19">
        <v>0.8926</v>
      </c>
      <c r="F1494" s="19">
        <v>0.1249</v>
      </c>
      <c r="G1494" s="17">
        <v>2063697.9</v>
      </c>
      <c r="H1494" s="17">
        <v>2510480.73</v>
      </c>
      <c r="I1494" s="8" t="s">
        <v>125</v>
      </c>
    </row>
    <row r="1495" ht="15" customHeight="1">
      <c r="A1495" s="7">
        <v>1493</v>
      </c>
      <c r="B1495" s="18">
        <v>0.4432</v>
      </c>
      <c r="C1495" s="18">
        <v>0.9352</v>
      </c>
      <c r="D1495" s="16">
        <v>33741.71</v>
      </c>
      <c r="E1495" s="18">
        <v>0.7922</v>
      </c>
      <c r="F1495" s="18">
        <v>0.0584</v>
      </c>
      <c r="G1495" s="16">
        <v>908815.37</v>
      </c>
      <c r="H1495" s="16">
        <v>1134883.65</v>
      </c>
      <c r="I1495" s="7" t="s">
        <v>125</v>
      </c>
    </row>
    <row r="1496" ht="15" customHeight="1">
      <c r="A1496" s="8">
        <v>1494</v>
      </c>
      <c r="B1496" s="19">
        <v>0.5862</v>
      </c>
      <c r="C1496" s="19">
        <v>0.9298</v>
      </c>
      <c r="D1496" s="17">
        <v>24642.51</v>
      </c>
      <c r="E1496" s="19">
        <v>0.8885</v>
      </c>
      <c r="F1496" s="19">
        <v>0.121</v>
      </c>
      <c r="G1496" s="17">
        <v>2572964.16</v>
      </c>
      <c r="H1496" s="17">
        <v>3108796.19</v>
      </c>
      <c r="I1496" s="8" t="s">
        <v>125</v>
      </c>
    </row>
    <row r="1497" ht="15" customHeight="1">
      <c r="A1497" s="7">
        <v>1495</v>
      </c>
      <c r="B1497" s="18">
        <v>0.4386</v>
      </c>
      <c r="C1497" s="18">
        <v>0.9912</v>
      </c>
      <c r="D1497" s="16">
        <v>26111.62</v>
      </c>
      <c r="E1497" s="18">
        <v>0.9322</v>
      </c>
      <c r="F1497" s="18">
        <v>0.1288</v>
      </c>
      <c r="G1497" s="16">
        <v>1958945.95</v>
      </c>
      <c r="H1497" s="16">
        <v>2386369.11</v>
      </c>
      <c r="I1497" s="7" t="s">
        <v>125</v>
      </c>
    </row>
    <row r="1498" ht="15" customHeight="1">
      <c r="A1498" s="8">
        <v>1496</v>
      </c>
      <c r="B1498" s="19">
        <v>0.7851</v>
      </c>
      <c r="C1498" s="19">
        <v>0.9798</v>
      </c>
      <c r="D1498" s="17">
        <v>26426.18</v>
      </c>
      <c r="E1498" s="19">
        <v>0.946</v>
      </c>
      <c r="F1498" s="19">
        <v>0.0809</v>
      </c>
      <c r="G1498" s="17">
        <v>4083106.43</v>
      </c>
      <c r="H1498" s="17">
        <v>4874604.36</v>
      </c>
      <c r="I1498" s="8" t="s">
        <v>125</v>
      </c>
    </row>
    <row r="1499" ht="15" customHeight="1">
      <c r="A1499" s="7">
        <v>1497</v>
      </c>
      <c r="B1499" s="18">
        <v>0.422</v>
      </c>
      <c r="C1499" s="18">
        <v>0.5396</v>
      </c>
      <c r="D1499" s="16">
        <v>35349.17</v>
      </c>
      <c r="E1499" s="18">
        <v>0.9083</v>
      </c>
      <c r="F1499" s="18">
        <v>0.1471</v>
      </c>
      <c r="G1499" s="16">
        <v>188688.12</v>
      </c>
      <c r="H1499" s="16">
        <v>300862</v>
      </c>
      <c r="I1499" s="7" t="s">
        <v>125</v>
      </c>
    </row>
    <row r="1500" ht="15" customHeight="1">
      <c r="A1500" s="8">
        <v>1498</v>
      </c>
      <c r="B1500" s="19">
        <v>0.5163</v>
      </c>
      <c r="C1500" s="19">
        <v>0.6948</v>
      </c>
      <c r="D1500" s="17">
        <v>21248.89</v>
      </c>
      <c r="E1500" s="19">
        <v>0.9234</v>
      </c>
      <c r="F1500" s="19">
        <v>0.1508</v>
      </c>
      <c r="G1500" s="17">
        <v>1613626.61</v>
      </c>
      <c r="H1500" s="17">
        <v>1981460.94</v>
      </c>
      <c r="I1500" s="8" t="s">
        <v>125</v>
      </c>
    </row>
    <row r="1501" ht="15" customHeight="1">
      <c r="A1501" s="7">
        <v>1499</v>
      </c>
      <c r="B1501" s="18">
        <v>0.5692</v>
      </c>
      <c r="C1501" s="18">
        <v>1.2415</v>
      </c>
      <c r="D1501" s="16">
        <v>26344.98</v>
      </c>
      <c r="E1501" s="18">
        <v>0.8875</v>
      </c>
      <c r="F1501" s="18">
        <v>0.0768</v>
      </c>
      <c r="G1501" s="16">
        <v>3336505.52</v>
      </c>
      <c r="H1501" s="16">
        <v>3994103.73</v>
      </c>
      <c r="I1501" s="7" t="s">
        <v>125</v>
      </c>
    </row>
    <row r="1502" ht="15" customHeight="1">
      <c r="A1502" s="8">
        <v>1500</v>
      </c>
      <c r="B1502" s="19">
        <v>0.7243</v>
      </c>
      <c r="C1502" s="19">
        <v>0.681</v>
      </c>
      <c r="D1502" s="17">
        <v>24435.03</v>
      </c>
      <c r="E1502" s="19">
        <v>0.9271</v>
      </c>
      <c r="F1502" s="19">
        <v>0.1064</v>
      </c>
      <c r="G1502" s="17">
        <v>2308947.61</v>
      </c>
      <c r="H1502" s="17">
        <v>2792925.18</v>
      </c>
      <c r="I1502" s="8" t="s">
        <v>125</v>
      </c>
    </row>
    <row r="1503" ht="15" customHeight="1">
      <c r="A1503" s="7">
        <v>1501</v>
      </c>
      <c r="B1503" s="18">
        <v>0.6259</v>
      </c>
      <c r="C1503" s="18">
        <v>1.4762</v>
      </c>
      <c r="D1503" s="16">
        <v>36969.82</v>
      </c>
      <c r="E1503" s="18">
        <v>0.8387</v>
      </c>
      <c r="F1503" s="18">
        <v>0.0352</v>
      </c>
      <c r="G1503" s="16">
        <v>3766350.1</v>
      </c>
      <c r="H1503" s="16">
        <v>4483163.93</v>
      </c>
      <c r="I1503" s="7" t="s">
        <v>125</v>
      </c>
    </row>
    <row r="1504" ht="15" customHeight="1">
      <c r="A1504" s="8">
        <v>1502</v>
      </c>
      <c r="B1504" s="19">
        <v>0.7735</v>
      </c>
      <c r="C1504" s="19">
        <v>0.666</v>
      </c>
      <c r="D1504" s="17">
        <v>25389.41</v>
      </c>
      <c r="E1504" s="19">
        <v>0.896</v>
      </c>
      <c r="F1504" s="19">
        <v>0.068</v>
      </c>
      <c r="G1504" s="17">
        <v>2140040.34</v>
      </c>
      <c r="H1504" s="17">
        <v>2583342.24</v>
      </c>
      <c r="I1504" s="8" t="s">
        <v>125</v>
      </c>
    </row>
    <row r="1505" ht="15" customHeight="1">
      <c r="A1505" s="7">
        <v>1503</v>
      </c>
      <c r="B1505" s="18">
        <v>0.5177</v>
      </c>
      <c r="C1505" s="18">
        <v>0.9965</v>
      </c>
      <c r="D1505" s="16">
        <v>19468.02</v>
      </c>
      <c r="E1505" s="18">
        <v>0.9087</v>
      </c>
      <c r="F1505" s="18">
        <v>0.141</v>
      </c>
      <c r="G1505" s="16">
        <v>2708506.19</v>
      </c>
      <c r="H1505" s="16">
        <v>3273116.88</v>
      </c>
      <c r="I1505" s="7" t="s">
        <v>125</v>
      </c>
    </row>
    <row r="1506" ht="15" customHeight="1">
      <c r="A1506" s="8">
        <v>1504</v>
      </c>
      <c r="B1506" s="19">
        <v>0.4653</v>
      </c>
      <c r="C1506" s="19">
        <v>1.081</v>
      </c>
      <c r="D1506" s="17">
        <v>27790.24</v>
      </c>
      <c r="E1506" s="19">
        <v>0.8859</v>
      </c>
      <c r="F1506" s="19">
        <v>0.0512</v>
      </c>
      <c r="G1506" s="17">
        <v>1881881.29</v>
      </c>
      <c r="H1506" s="17">
        <v>2275632.94</v>
      </c>
      <c r="I1506" s="8" t="s">
        <v>125</v>
      </c>
    </row>
    <row r="1507" ht="15" customHeight="1">
      <c r="A1507" s="7">
        <v>1505</v>
      </c>
      <c r="B1507" s="18">
        <v>0.5558</v>
      </c>
      <c r="C1507" s="18">
        <v>1.0767</v>
      </c>
      <c r="D1507" s="16">
        <v>34871.23</v>
      </c>
      <c r="E1507" s="18">
        <v>0.8707</v>
      </c>
      <c r="F1507" s="18">
        <v>0.1012</v>
      </c>
      <c r="G1507" s="16">
        <v>2436270.94</v>
      </c>
      <c r="H1507" s="16">
        <v>2944400.63</v>
      </c>
      <c r="I1507" s="7" t="s">
        <v>125</v>
      </c>
    </row>
    <row r="1508" ht="15" customHeight="1">
      <c r="A1508" s="8">
        <v>1506</v>
      </c>
      <c r="B1508" s="19">
        <v>0.4999</v>
      </c>
      <c r="C1508" s="19">
        <v>0.6539</v>
      </c>
      <c r="D1508" s="17">
        <v>32425.07</v>
      </c>
      <c r="E1508" s="19">
        <v>0.8239</v>
      </c>
      <c r="F1508" s="19">
        <v>0.0897</v>
      </c>
      <c r="G1508" s="17">
        <v>616963.3</v>
      </c>
      <c r="H1508" s="17">
        <v>796941.11</v>
      </c>
      <c r="I1508" s="8" t="s">
        <v>125</v>
      </c>
    </row>
    <row r="1509" ht="15" customHeight="1">
      <c r="A1509" s="7">
        <v>1507</v>
      </c>
      <c r="B1509" s="18">
        <v>0.586</v>
      </c>
      <c r="C1509" s="18">
        <v>0.9047</v>
      </c>
      <c r="D1509" s="16">
        <v>20999.69</v>
      </c>
      <c r="E1509" s="18">
        <v>0.9217</v>
      </c>
      <c r="F1509" s="18">
        <v>0.1289</v>
      </c>
      <c r="G1509" s="16">
        <v>2756780.61</v>
      </c>
      <c r="H1509" s="16">
        <v>3327086.49</v>
      </c>
      <c r="I1509" s="7" t="s">
        <v>125</v>
      </c>
    </row>
    <row r="1510" ht="15" customHeight="1">
      <c r="A1510" s="8">
        <v>1508</v>
      </c>
      <c r="B1510" s="19">
        <v>0.5817</v>
      </c>
      <c r="C1510" s="19">
        <v>1.1308</v>
      </c>
      <c r="D1510" s="17">
        <v>22615.26</v>
      </c>
      <c r="E1510" s="19">
        <v>0.9125</v>
      </c>
      <c r="F1510" s="19">
        <v>0.0435</v>
      </c>
      <c r="G1510" s="17">
        <v>3070269.96</v>
      </c>
      <c r="H1510" s="17">
        <v>3668105.81</v>
      </c>
      <c r="I1510" s="8" t="s">
        <v>125</v>
      </c>
    </row>
    <row r="1511" ht="15" customHeight="1">
      <c r="A1511" s="7">
        <v>1509</v>
      </c>
      <c r="B1511" s="18">
        <v>0.7425</v>
      </c>
      <c r="C1511" s="18">
        <v>1.1217</v>
      </c>
      <c r="D1511" s="16">
        <v>34086.09</v>
      </c>
      <c r="E1511" s="18">
        <v>0.8845</v>
      </c>
      <c r="F1511" s="18">
        <v>0.0478</v>
      </c>
      <c r="G1511" s="16">
        <v>3682193.53</v>
      </c>
      <c r="H1511" s="16">
        <v>4389811.41</v>
      </c>
      <c r="I1511" s="7" t="s">
        <v>125</v>
      </c>
    </row>
    <row r="1512" ht="15" customHeight="1">
      <c r="A1512" s="8">
        <v>1510</v>
      </c>
      <c r="B1512" s="19">
        <v>0.6008</v>
      </c>
      <c r="C1512" s="19">
        <v>1.192</v>
      </c>
      <c r="D1512" s="17">
        <v>35914.2</v>
      </c>
      <c r="E1512" s="19">
        <v>0.8339</v>
      </c>
      <c r="F1512" s="19">
        <v>0.1303</v>
      </c>
      <c r="G1512" s="17">
        <v>3139460.39</v>
      </c>
      <c r="H1512" s="17">
        <v>3784747.9</v>
      </c>
      <c r="I1512" s="8" t="s">
        <v>125</v>
      </c>
    </row>
    <row r="1513" ht="15" customHeight="1">
      <c r="A1513" s="7">
        <v>1511</v>
      </c>
      <c r="B1513" s="18">
        <v>0.6881</v>
      </c>
      <c r="C1513" s="18">
        <v>1.0704</v>
      </c>
      <c r="D1513" s="16">
        <v>25442.16</v>
      </c>
      <c r="E1513" s="18">
        <v>0.9122</v>
      </c>
      <c r="F1513" s="18">
        <v>0.1374</v>
      </c>
      <c r="G1513" s="16">
        <v>4083930.8</v>
      </c>
      <c r="H1513" s="16">
        <v>4899887.39</v>
      </c>
      <c r="I1513" s="7" t="s">
        <v>125</v>
      </c>
    </row>
    <row r="1514" ht="15" customHeight="1">
      <c r="A1514" s="8">
        <v>1512</v>
      </c>
      <c r="B1514" s="19">
        <v>0.5082</v>
      </c>
      <c r="C1514" s="19">
        <v>0.9788</v>
      </c>
      <c r="D1514" s="17">
        <v>27648.87</v>
      </c>
      <c r="E1514" s="19">
        <v>0.9056</v>
      </c>
      <c r="F1514" s="19">
        <v>0.1048</v>
      </c>
      <c r="G1514" s="17">
        <v>2151604.6</v>
      </c>
      <c r="H1514" s="17">
        <v>2607819.37</v>
      </c>
      <c r="I1514" s="8" t="s">
        <v>125</v>
      </c>
    </row>
    <row r="1515" ht="15" customHeight="1">
      <c r="A1515" s="7">
        <v>1513</v>
      </c>
      <c r="B1515" s="18">
        <v>0.598</v>
      </c>
      <c r="C1515" s="18">
        <v>0.7293</v>
      </c>
      <c r="D1515" s="16">
        <v>33565.67</v>
      </c>
      <c r="E1515" s="18">
        <v>0.9037</v>
      </c>
      <c r="F1515" s="18">
        <v>0.12</v>
      </c>
      <c r="G1515" s="16">
        <v>1609241.93</v>
      </c>
      <c r="H1515" s="16">
        <v>1973682.04</v>
      </c>
      <c r="I1515" s="7" t="s">
        <v>125</v>
      </c>
    </row>
    <row r="1516" ht="15" customHeight="1">
      <c r="A1516" s="8">
        <v>1514</v>
      </c>
      <c r="B1516" s="19">
        <v>0.6402</v>
      </c>
      <c r="C1516" s="19">
        <v>0.7277</v>
      </c>
      <c r="D1516" s="17">
        <v>28238.22</v>
      </c>
      <c r="E1516" s="19">
        <v>0.907</v>
      </c>
      <c r="F1516" s="19">
        <v>0.0612</v>
      </c>
      <c r="G1516" s="17">
        <v>1748461.42</v>
      </c>
      <c r="H1516" s="17">
        <v>2121562.01</v>
      </c>
      <c r="I1516" s="8" t="s">
        <v>125</v>
      </c>
    </row>
    <row r="1517" ht="15" customHeight="1">
      <c r="A1517" s="7">
        <v>1515</v>
      </c>
      <c r="B1517" s="18">
        <v>0.5293</v>
      </c>
      <c r="C1517" s="18">
        <v>1.3304</v>
      </c>
      <c r="D1517" s="16">
        <v>22395.35</v>
      </c>
      <c r="E1517" s="18">
        <v>0.8612</v>
      </c>
      <c r="F1517" s="18">
        <v>0.1012</v>
      </c>
      <c r="G1517" s="16">
        <v>3452454.9</v>
      </c>
      <c r="H1517" s="16">
        <v>4139012.42</v>
      </c>
      <c r="I1517" s="7" t="s">
        <v>125</v>
      </c>
    </row>
    <row r="1518" ht="15" customHeight="1">
      <c r="A1518" s="8">
        <v>1516</v>
      </c>
      <c r="B1518" s="19">
        <v>0.6061</v>
      </c>
      <c r="C1518" s="19">
        <v>1.1782</v>
      </c>
      <c r="D1518" s="17">
        <v>26279.64</v>
      </c>
      <c r="E1518" s="19">
        <v>0.9141</v>
      </c>
      <c r="F1518" s="19">
        <v>0.0886</v>
      </c>
      <c r="G1518" s="17">
        <v>3595487.09</v>
      </c>
      <c r="H1518" s="17">
        <v>4303652.57</v>
      </c>
      <c r="I1518" s="8" t="s">
        <v>125</v>
      </c>
    </row>
    <row r="1519" ht="15" customHeight="1">
      <c r="A1519" s="7">
        <v>1517</v>
      </c>
      <c r="B1519" s="18">
        <v>0.6416</v>
      </c>
      <c r="C1519" s="18">
        <v>0.838</v>
      </c>
      <c r="D1519" s="16">
        <v>19725.15</v>
      </c>
      <c r="E1519" s="18">
        <v>0.9201</v>
      </c>
      <c r="F1519" s="18">
        <v>0.1277</v>
      </c>
      <c r="G1519" s="16">
        <v>2836081.79</v>
      </c>
      <c r="H1519" s="16">
        <v>3419944.33</v>
      </c>
      <c r="I1519" s="7" t="s">
        <v>125</v>
      </c>
    </row>
    <row r="1520" ht="15" customHeight="1">
      <c r="A1520" s="8">
        <v>1518</v>
      </c>
      <c r="B1520" s="19">
        <v>0.6271</v>
      </c>
      <c r="C1520" s="19">
        <v>1.1741</v>
      </c>
      <c r="D1520" s="17">
        <v>27463.07</v>
      </c>
      <c r="E1520" s="19">
        <v>0.9295</v>
      </c>
      <c r="F1520" s="19">
        <v>0.0802</v>
      </c>
      <c r="G1520" s="17">
        <v>3734773.81</v>
      </c>
      <c r="H1520" s="17">
        <v>4464497.35</v>
      </c>
      <c r="I1520" s="8" t="s">
        <v>125</v>
      </c>
    </row>
    <row r="1521" ht="15" customHeight="1">
      <c r="A1521" s="7">
        <v>1519</v>
      </c>
      <c r="B1521" s="18">
        <v>0.6195</v>
      </c>
      <c r="C1521" s="18">
        <v>1.179</v>
      </c>
      <c r="D1521" s="16">
        <v>32559.91</v>
      </c>
      <c r="E1521" s="18">
        <v>0.8446</v>
      </c>
      <c r="F1521" s="18">
        <v>0.0999</v>
      </c>
      <c r="G1521" s="16">
        <v>3209121.26</v>
      </c>
      <c r="H1521" s="16">
        <v>3854424.87</v>
      </c>
      <c r="I1521" s="7" t="s">
        <v>125</v>
      </c>
    </row>
    <row r="1522" ht="15" customHeight="1">
      <c r="A1522" s="8">
        <v>1520</v>
      </c>
      <c r="B1522" s="19">
        <v>0.5152</v>
      </c>
      <c r="C1522" s="19">
        <v>1.3515</v>
      </c>
      <c r="D1522" s="17">
        <v>25882.48</v>
      </c>
      <c r="E1522" s="19">
        <v>0.8016</v>
      </c>
      <c r="F1522" s="19">
        <v>0.1695</v>
      </c>
      <c r="G1522" s="17">
        <v>3370974.77</v>
      </c>
      <c r="H1522" s="17">
        <v>4068995.39</v>
      </c>
      <c r="I1522" s="8" t="s">
        <v>125</v>
      </c>
    </row>
    <row r="1523" ht="15" customHeight="1">
      <c r="A1523" s="7">
        <v>1521</v>
      </c>
      <c r="B1523" s="18">
        <v>0.6707</v>
      </c>
      <c r="C1523" s="18">
        <v>1.1108</v>
      </c>
      <c r="D1523" s="16">
        <v>35908.8</v>
      </c>
      <c r="E1523" s="18">
        <v>0.8762</v>
      </c>
      <c r="F1523" s="18">
        <v>0.1739</v>
      </c>
      <c r="G1523" s="16">
        <v>3857772.82</v>
      </c>
      <c r="H1523" s="16">
        <v>4651887.39</v>
      </c>
      <c r="I1523" s="7" t="s">
        <v>125</v>
      </c>
    </row>
    <row r="1524" ht="15" customHeight="1">
      <c r="A1524" s="8">
        <v>1522</v>
      </c>
      <c r="B1524" s="19">
        <v>0.5977</v>
      </c>
      <c r="C1524" s="19">
        <v>0.7543</v>
      </c>
      <c r="D1524" s="17">
        <v>23506.35</v>
      </c>
      <c r="E1524" s="19">
        <v>0.9363</v>
      </c>
      <c r="F1524" s="19">
        <v>0.0639</v>
      </c>
      <c r="G1524" s="17">
        <v>1901914.45</v>
      </c>
      <c r="H1524" s="17">
        <v>2301864.59</v>
      </c>
      <c r="I1524" s="8" t="s">
        <v>125</v>
      </c>
    </row>
    <row r="1525" ht="15" customHeight="1">
      <c r="A1525" s="7">
        <v>1523</v>
      </c>
      <c r="B1525" s="18">
        <v>0.6439</v>
      </c>
      <c r="C1525" s="18">
        <v>1.1992</v>
      </c>
      <c r="D1525" s="16">
        <v>30123.25</v>
      </c>
      <c r="E1525" s="18">
        <v>0.8692</v>
      </c>
      <c r="F1525" s="18">
        <v>0.129</v>
      </c>
      <c r="G1525" s="16">
        <v>3878793.46</v>
      </c>
      <c r="H1525" s="16">
        <v>4655613.11</v>
      </c>
      <c r="I1525" s="7" t="s">
        <v>125</v>
      </c>
    </row>
    <row r="1526" ht="15" customHeight="1">
      <c r="A1526" s="8">
        <v>1524</v>
      </c>
      <c r="B1526" s="19">
        <v>0.5224</v>
      </c>
      <c r="C1526" s="19">
        <v>1.0675</v>
      </c>
      <c r="D1526" s="17">
        <v>31028</v>
      </c>
      <c r="E1526" s="19">
        <v>0.8676</v>
      </c>
      <c r="F1526" s="19">
        <v>0.1197</v>
      </c>
      <c r="G1526" s="17">
        <v>2366980.04</v>
      </c>
      <c r="H1526" s="17">
        <v>2867304.45</v>
      </c>
      <c r="I1526" s="8" t="s">
        <v>125</v>
      </c>
    </row>
    <row r="1527" ht="15" customHeight="1">
      <c r="A1527" s="7">
        <v>1525</v>
      </c>
      <c r="B1527" s="18">
        <v>0.7611</v>
      </c>
      <c r="C1527" s="18">
        <v>0.9597</v>
      </c>
      <c r="D1527" s="16">
        <v>26802</v>
      </c>
      <c r="E1527" s="18">
        <v>0.9039</v>
      </c>
      <c r="F1527" s="18">
        <v>0.089</v>
      </c>
      <c r="G1527" s="16">
        <v>3637069.44</v>
      </c>
      <c r="H1527" s="16">
        <v>4352926.98</v>
      </c>
      <c r="I1527" s="7" t="s">
        <v>125</v>
      </c>
    </row>
    <row r="1528" ht="15" customHeight="1">
      <c r="A1528" s="8">
        <v>1526</v>
      </c>
      <c r="B1528" s="19">
        <v>0.402</v>
      </c>
      <c r="C1528" s="19">
        <v>1.2383</v>
      </c>
      <c r="D1528" s="17">
        <v>23979.19</v>
      </c>
      <c r="E1528" s="19">
        <v>0.946</v>
      </c>
      <c r="F1528" s="19">
        <v>0.144</v>
      </c>
      <c r="G1528" s="17">
        <v>2600395.91</v>
      </c>
      <c r="H1528" s="17">
        <v>3147884.85</v>
      </c>
      <c r="I1528" s="8" t="s">
        <v>125</v>
      </c>
    </row>
    <row r="1529" ht="15" customHeight="1">
      <c r="A1529" s="7">
        <v>1527</v>
      </c>
      <c r="B1529" s="18">
        <v>0.3819</v>
      </c>
      <c r="C1529" s="18">
        <v>0.8455</v>
      </c>
      <c r="D1529" s="16">
        <v>23432.56</v>
      </c>
      <c r="E1529" s="18">
        <v>0.7921</v>
      </c>
      <c r="F1529" s="18">
        <v>0.1575</v>
      </c>
      <c r="G1529" s="16">
        <v>967811.09</v>
      </c>
      <c r="H1529" s="16">
        <v>1219416.09</v>
      </c>
      <c r="I1529" s="7" t="s">
        <v>125</v>
      </c>
    </row>
    <row r="1530" ht="15" customHeight="1">
      <c r="A1530" s="8">
        <v>1528</v>
      </c>
      <c r="B1530" s="19">
        <v>0.4541</v>
      </c>
      <c r="C1530" s="19">
        <v>0.957</v>
      </c>
      <c r="D1530" s="17">
        <v>28494.84</v>
      </c>
      <c r="E1530" s="19">
        <v>0.9164</v>
      </c>
      <c r="F1530" s="19">
        <v>0.1702</v>
      </c>
      <c r="G1530" s="17">
        <v>1998860.43</v>
      </c>
      <c r="H1530" s="17">
        <v>2445065.52</v>
      </c>
      <c r="I1530" s="8" t="s">
        <v>125</v>
      </c>
    </row>
    <row r="1531" ht="15" customHeight="1">
      <c r="A1531" s="7">
        <v>1529</v>
      </c>
      <c r="B1531" s="18">
        <v>0.514</v>
      </c>
      <c r="C1531" s="18">
        <v>0.9526</v>
      </c>
      <c r="D1531" s="16">
        <v>25754.62</v>
      </c>
      <c r="E1531" s="18">
        <v>0.7838</v>
      </c>
      <c r="F1531" s="18">
        <v>0.0825</v>
      </c>
      <c r="G1531" s="16">
        <v>1630513.2</v>
      </c>
      <c r="H1531" s="16">
        <v>1987579.07</v>
      </c>
      <c r="I1531" s="7" t="s">
        <v>125</v>
      </c>
    </row>
    <row r="1532" ht="15" customHeight="1">
      <c r="A1532" s="8">
        <v>1530</v>
      </c>
      <c r="B1532" s="19">
        <v>0.6707</v>
      </c>
      <c r="C1532" s="19">
        <v>0.8823</v>
      </c>
      <c r="D1532" s="17">
        <v>24460.74</v>
      </c>
      <c r="E1532" s="19">
        <v>0.887</v>
      </c>
      <c r="F1532" s="19">
        <v>0.0877</v>
      </c>
      <c r="G1532" s="17">
        <v>2715790.13</v>
      </c>
      <c r="H1532" s="17">
        <v>3266732.49</v>
      </c>
      <c r="I1532" s="8" t="s">
        <v>125</v>
      </c>
    </row>
    <row r="1533" ht="15" customHeight="1">
      <c r="A1533" s="7">
        <v>1531</v>
      </c>
      <c r="B1533" s="18">
        <v>0.5024</v>
      </c>
      <c r="C1533" s="18">
        <v>1.1447</v>
      </c>
      <c r="D1533" s="16">
        <v>24069.75</v>
      </c>
      <c r="E1533" s="18">
        <v>0.9693</v>
      </c>
      <c r="F1533" s="18">
        <v>0.0716</v>
      </c>
      <c r="G1533" s="16">
        <v>2879198.02</v>
      </c>
      <c r="H1533" s="16">
        <v>3453657.73</v>
      </c>
      <c r="I1533" s="7" t="s">
        <v>125</v>
      </c>
    </row>
    <row r="1534" ht="15" customHeight="1">
      <c r="A1534" s="8">
        <v>1532</v>
      </c>
      <c r="B1534" s="19">
        <v>0.686</v>
      </c>
      <c r="C1534" s="19">
        <v>1.0942</v>
      </c>
      <c r="D1534" s="17">
        <v>22825.06</v>
      </c>
      <c r="E1534" s="19">
        <v>0.818</v>
      </c>
      <c r="F1534" s="19">
        <v>0.1211</v>
      </c>
      <c r="G1534" s="17">
        <v>3615962.45</v>
      </c>
      <c r="H1534" s="17">
        <v>4339624.86</v>
      </c>
      <c r="I1534" s="8" t="s">
        <v>125</v>
      </c>
    </row>
    <row r="1535" ht="15" customHeight="1">
      <c r="A1535" s="7">
        <v>1533</v>
      </c>
      <c r="B1535" s="18">
        <v>0.7232</v>
      </c>
      <c r="C1535" s="18">
        <v>1.046</v>
      </c>
      <c r="D1535" s="16">
        <v>24328.81</v>
      </c>
      <c r="E1535" s="18">
        <v>0.9749</v>
      </c>
      <c r="F1535" s="18">
        <v>0.0886</v>
      </c>
      <c r="G1535" s="16">
        <v>4272615.23</v>
      </c>
      <c r="H1535" s="16">
        <v>5100781.5</v>
      </c>
      <c r="I1535" s="7" t="s">
        <v>125</v>
      </c>
    </row>
    <row r="1536" ht="15" customHeight="1">
      <c r="A1536" s="8">
        <v>1534</v>
      </c>
      <c r="B1536" s="19">
        <v>0.7293</v>
      </c>
      <c r="C1536" s="19">
        <v>1.3479</v>
      </c>
      <c r="D1536" s="17">
        <v>27481.05</v>
      </c>
      <c r="E1536" s="19">
        <v>0.886</v>
      </c>
      <c r="F1536" s="19">
        <v>0.1469</v>
      </c>
      <c r="G1536" s="17">
        <v>5651056.98</v>
      </c>
      <c r="H1536" s="17">
        <v>6758160.37</v>
      </c>
      <c r="I1536" s="8" t="s">
        <v>125</v>
      </c>
    </row>
    <row r="1537" ht="15" customHeight="1">
      <c r="A1537" s="7">
        <v>1535</v>
      </c>
      <c r="B1537" s="18">
        <v>0.7648</v>
      </c>
      <c r="C1537" s="18">
        <v>1.1789</v>
      </c>
      <c r="D1537" s="16">
        <v>21160.91</v>
      </c>
      <c r="E1537" s="18">
        <v>0.8011</v>
      </c>
      <c r="F1537" s="18">
        <v>0.1816</v>
      </c>
      <c r="G1537" s="16">
        <v>4936149.82</v>
      </c>
      <c r="H1537" s="16">
        <v>5926516.29</v>
      </c>
      <c r="I1537" s="7" t="s">
        <v>125</v>
      </c>
    </row>
    <row r="1538" ht="15" customHeight="1">
      <c r="A1538" s="8">
        <v>1536</v>
      </c>
      <c r="B1538" s="19">
        <v>0.5817</v>
      </c>
      <c r="C1538" s="19">
        <v>0.9787</v>
      </c>
      <c r="D1538" s="17">
        <v>33712.21</v>
      </c>
      <c r="E1538" s="19">
        <v>0.8446</v>
      </c>
      <c r="F1538" s="19">
        <v>0.0791</v>
      </c>
      <c r="G1538" s="17">
        <v>2071444.5</v>
      </c>
      <c r="H1538" s="17">
        <v>2507506.06</v>
      </c>
      <c r="I1538" s="8" t="s">
        <v>125</v>
      </c>
    </row>
    <row r="1539" ht="15" customHeight="1">
      <c r="A1539" s="7">
        <v>1537</v>
      </c>
      <c r="B1539" s="18">
        <v>0.6233</v>
      </c>
      <c r="C1539" s="18">
        <v>0.8755</v>
      </c>
      <c r="D1539" s="16">
        <v>32815.44</v>
      </c>
      <c r="E1539" s="18">
        <v>0.9117</v>
      </c>
      <c r="F1539" s="18">
        <v>0.1242</v>
      </c>
      <c r="G1539" s="16">
        <v>2437896.1</v>
      </c>
      <c r="H1539" s="16">
        <v>2952989.73</v>
      </c>
      <c r="I1539" s="7" t="s">
        <v>125</v>
      </c>
    </row>
    <row r="1540" ht="15" customHeight="1">
      <c r="A1540" s="8">
        <v>1538</v>
      </c>
      <c r="B1540" s="19">
        <v>0.6404</v>
      </c>
      <c r="C1540" s="19">
        <v>0.9052</v>
      </c>
      <c r="D1540" s="17">
        <v>29291.82</v>
      </c>
      <c r="E1540" s="19">
        <v>0.8044</v>
      </c>
      <c r="F1540" s="19">
        <v>0.1308</v>
      </c>
      <c r="G1540" s="17">
        <v>2338370.42</v>
      </c>
      <c r="H1540" s="17">
        <v>2836226.14</v>
      </c>
      <c r="I1540" s="8" t="s">
        <v>125</v>
      </c>
    </row>
    <row r="1541" ht="15" customHeight="1">
      <c r="A1541" s="7">
        <v>1539</v>
      </c>
      <c r="B1541" s="18">
        <v>0.7434</v>
      </c>
      <c r="C1541" s="18">
        <v>0.8288</v>
      </c>
      <c r="D1541" s="16">
        <v>24587.12</v>
      </c>
      <c r="E1541" s="18">
        <v>0.8848</v>
      </c>
      <c r="F1541" s="18">
        <v>0.1136</v>
      </c>
      <c r="G1541" s="16">
        <v>2997345.68</v>
      </c>
      <c r="H1541" s="16">
        <v>3607293.65</v>
      </c>
      <c r="I1541" s="7" t="s">
        <v>125</v>
      </c>
    </row>
    <row r="1542" ht="15" customHeight="1">
      <c r="A1542" s="8">
        <v>1540</v>
      </c>
      <c r="B1542" s="19">
        <v>0.7897</v>
      </c>
      <c r="C1542" s="19">
        <v>0.8981</v>
      </c>
      <c r="D1542" s="17">
        <v>24405.38</v>
      </c>
      <c r="E1542" s="19">
        <v>0.8982</v>
      </c>
      <c r="F1542" s="19">
        <v>0.0792</v>
      </c>
      <c r="G1542" s="17">
        <v>3481133.19</v>
      </c>
      <c r="H1542" s="17">
        <v>4164840.61</v>
      </c>
      <c r="I1542" s="8" t="s">
        <v>125</v>
      </c>
    </row>
    <row r="1543" ht="15" customHeight="1">
      <c r="A1543" s="7">
        <v>1541</v>
      </c>
      <c r="B1543" s="18">
        <v>0.6382</v>
      </c>
      <c r="C1543" s="18">
        <v>1.2916</v>
      </c>
      <c r="D1543" s="16">
        <v>30196.75</v>
      </c>
      <c r="E1543" s="18">
        <v>0.89</v>
      </c>
      <c r="F1543" s="18">
        <v>0.073</v>
      </c>
      <c r="G1543" s="16">
        <v>3955477.01</v>
      </c>
      <c r="H1543" s="16">
        <v>4721677.46</v>
      </c>
      <c r="I1543" s="7" t="s">
        <v>125</v>
      </c>
    </row>
    <row r="1544" ht="15" customHeight="1">
      <c r="A1544" s="8">
        <v>1542</v>
      </c>
      <c r="B1544" s="19">
        <v>0.4544</v>
      </c>
      <c r="C1544" s="19">
        <v>1.0963</v>
      </c>
      <c r="D1544" s="17">
        <v>29112.1</v>
      </c>
      <c r="E1544" s="19">
        <v>0.919</v>
      </c>
      <c r="F1544" s="19">
        <v>0.1167</v>
      </c>
      <c r="G1544" s="17">
        <v>2214602.08</v>
      </c>
      <c r="H1544" s="17">
        <v>2685937.85</v>
      </c>
      <c r="I1544" s="8" t="s">
        <v>125</v>
      </c>
    </row>
    <row r="1545" ht="15" customHeight="1">
      <c r="A1545" s="7">
        <v>1543</v>
      </c>
      <c r="B1545" s="18">
        <v>0.6029</v>
      </c>
      <c r="C1545" s="18">
        <v>1.2478</v>
      </c>
      <c r="D1545" s="16">
        <v>22557.28</v>
      </c>
      <c r="E1545" s="18">
        <v>0.9479</v>
      </c>
      <c r="F1545" s="18">
        <v>0.1264</v>
      </c>
      <c r="G1545" s="16">
        <v>4414683.18</v>
      </c>
      <c r="H1545" s="16">
        <v>5284879.96</v>
      </c>
      <c r="I1545" s="7" t="s">
        <v>125</v>
      </c>
    </row>
    <row r="1546" ht="15" customHeight="1">
      <c r="A1546" s="8">
        <v>1544</v>
      </c>
      <c r="B1546" s="19">
        <v>0.5162</v>
      </c>
      <c r="C1546" s="19">
        <v>0.9489</v>
      </c>
      <c r="D1546" s="17">
        <v>34423.77</v>
      </c>
      <c r="E1546" s="19">
        <v>0.8317</v>
      </c>
      <c r="F1546" s="19">
        <v>0.0989</v>
      </c>
      <c r="G1546" s="17">
        <v>1598933.46</v>
      </c>
      <c r="H1546" s="17">
        <v>1956512.24</v>
      </c>
      <c r="I1546" s="8" t="s">
        <v>125</v>
      </c>
    </row>
    <row r="1547" ht="15" customHeight="1">
      <c r="A1547" s="7">
        <v>1545</v>
      </c>
      <c r="B1547" s="18">
        <v>0.4669</v>
      </c>
      <c r="C1547" s="18">
        <v>0.9136</v>
      </c>
      <c r="D1547" s="16">
        <v>32501.04</v>
      </c>
      <c r="E1547" s="18">
        <v>0.88</v>
      </c>
      <c r="F1547" s="18">
        <v>0.1615</v>
      </c>
      <c r="G1547" s="16">
        <v>1657002.14</v>
      </c>
      <c r="H1547" s="16">
        <v>2039823.92</v>
      </c>
      <c r="I1547" s="7" t="s">
        <v>125</v>
      </c>
    </row>
    <row r="1548" ht="15" customHeight="1">
      <c r="A1548" s="8">
        <v>1546</v>
      </c>
      <c r="B1548" s="19">
        <v>0.4902</v>
      </c>
      <c r="C1548" s="19">
        <v>0.9883</v>
      </c>
      <c r="D1548" s="17">
        <v>29722.42</v>
      </c>
      <c r="E1548" s="19">
        <v>0.7935</v>
      </c>
      <c r="F1548" s="19">
        <v>0.0728</v>
      </c>
      <c r="G1548" s="17">
        <v>1477150.93</v>
      </c>
      <c r="H1548" s="17">
        <v>1805634.61</v>
      </c>
      <c r="I1548" s="8" t="s">
        <v>125</v>
      </c>
    </row>
    <row r="1549" ht="15" customHeight="1">
      <c r="A1549" s="7">
        <v>1547</v>
      </c>
      <c r="B1549" s="18">
        <v>0.6474</v>
      </c>
      <c r="C1549" s="18">
        <v>1.2214</v>
      </c>
      <c r="D1549" s="16">
        <v>26249.71</v>
      </c>
      <c r="E1549" s="18">
        <v>0.9249</v>
      </c>
      <c r="F1549" s="18">
        <v>0.1351</v>
      </c>
      <c r="G1549" s="16">
        <v>4504933.95</v>
      </c>
      <c r="H1549" s="16">
        <v>5396733.26</v>
      </c>
      <c r="I1549" s="7" t="s">
        <v>125</v>
      </c>
    </row>
    <row r="1550" ht="15" customHeight="1">
      <c r="A1550" s="8">
        <v>1548</v>
      </c>
      <c r="B1550" s="19">
        <v>0.6818</v>
      </c>
      <c r="C1550" s="19">
        <v>1.0999</v>
      </c>
      <c r="D1550" s="17">
        <v>29890.83</v>
      </c>
      <c r="E1550" s="19">
        <v>0.7976</v>
      </c>
      <c r="F1550" s="19">
        <v>0.0422</v>
      </c>
      <c r="G1550" s="17">
        <v>2824791.09</v>
      </c>
      <c r="H1550" s="17">
        <v>3380326.22</v>
      </c>
      <c r="I1550" s="8" t="s">
        <v>125</v>
      </c>
    </row>
    <row r="1551" ht="15" customHeight="1">
      <c r="A1551" s="7">
        <v>1549</v>
      </c>
      <c r="B1551" s="18">
        <v>0.4641</v>
      </c>
      <c r="C1551" s="18">
        <v>1.0761</v>
      </c>
      <c r="D1551" s="16">
        <v>30164.07</v>
      </c>
      <c r="E1551" s="18">
        <v>0.8232</v>
      </c>
      <c r="F1551" s="18">
        <v>0.1033</v>
      </c>
      <c r="G1551" s="16">
        <v>1775448.89</v>
      </c>
      <c r="H1551" s="16">
        <v>2164567.84</v>
      </c>
      <c r="I1551" s="7" t="s">
        <v>125</v>
      </c>
    </row>
    <row r="1552" ht="15" customHeight="1">
      <c r="A1552" s="8">
        <v>1550</v>
      </c>
      <c r="B1552" s="19">
        <v>0.741</v>
      </c>
      <c r="C1552" s="19">
        <v>0.8724</v>
      </c>
      <c r="D1552" s="17">
        <v>31931.2</v>
      </c>
      <c r="E1552" s="19">
        <v>0.866</v>
      </c>
      <c r="F1552" s="19">
        <v>0.0646</v>
      </c>
      <c r="G1552" s="17">
        <v>2617215.21</v>
      </c>
      <c r="H1552" s="17">
        <v>3144611.71</v>
      </c>
      <c r="I1552" s="8" t="s">
        <v>125</v>
      </c>
    </row>
    <row r="1553" ht="15" customHeight="1">
      <c r="A1553" s="7">
        <v>1551</v>
      </c>
      <c r="B1553" s="18">
        <v>0.6578</v>
      </c>
      <c r="C1553" s="18">
        <v>0.9301</v>
      </c>
      <c r="D1553" s="16">
        <v>31424.21</v>
      </c>
      <c r="E1553" s="18">
        <v>0.9443</v>
      </c>
      <c r="F1553" s="18">
        <v>0.06</v>
      </c>
      <c r="G1553" s="16">
        <v>2733532.22</v>
      </c>
      <c r="H1553" s="16">
        <v>3279674.25</v>
      </c>
      <c r="I1553" s="7" t="s">
        <v>125</v>
      </c>
    </row>
    <row r="1554" ht="15" customHeight="1">
      <c r="A1554" s="8">
        <v>1552</v>
      </c>
      <c r="B1554" s="19">
        <v>0.6577</v>
      </c>
      <c r="C1554" s="19">
        <v>1.0034</v>
      </c>
      <c r="D1554" s="17">
        <v>25459.54</v>
      </c>
      <c r="E1554" s="19">
        <v>0.9097</v>
      </c>
      <c r="F1554" s="19">
        <v>0.1705</v>
      </c>
      <c r="G1554" s="17">
        <v>3732360.32</v>
      </c>
      <c r="H1554" s="17">
        <v>4497252.92</v>
      </c>
      <c r="I1554" s="8" t="s">
        <v>125</v>
      </c>
    </row>
    <row r="1555" ht="15" customHeight="1">
      <c r="A1555" s="7">
        <v>1553</v>
      </c>
      <c r="B1555" s="18">
        <v>0.779</v>
      </c>
      <c r="C1555" s="18">
        <v>0.9007</v>
      </c>
      <c r="D1555" s="16">
        <v>30226.33</v>
      </c>
      <c r="E1555" s="18">
        <v>0.9113</v>
      </c>
      <c r="F1555" s="18">
        <v>0.0595</v>
      </c>
      <c r="G1555" s="16">
        <v>3200380.69</v>
      </c>
      <c r="H1555" s="16">
        <v>3828043.34</v>
      </c>
      <c r="I1555" s="7" t="s">
        <v>125</v>
      </c>
    </row>
    <row r="1556" ht="15" customHeight="1">
      <c r="A1556" s="8">
        <v>1554</v>
      </c>
      <c r="B1556" s="19">
        <v>0.7154</v>
      </c>
      <c r="C1556" s="19">
        <v>1.0912</v>
      </c>
      <c r="D1556" s="17">
        <v>30636.97</v>
      </c>
      <c r="E1556" s="19">
        <v>0.8197</v>
      </c>
      <c r="F1556" s="19">
        <v>0.1089</v>
      </c>
      <c r="G1556" s="17">
        <v>3494427.56</v>
      </c>
      <c r="H1556" s="17">
        <v>4193811.65</v>
      </c>
      <c r="I1556" s="8" t="s">
        <v>125</v>
      </c>
    </row>
    <row r="1557" ht="15" customHeight="1">
      <c r="A1557" s="7">
        <v>1555</v>
      </c>
      <c r="B1557" s="18">
        <v>0.7377</v>
      </c>
      <c r="C1557" s="18">
        <v>1.2227</v>
      </c>
      <c r="D1557" s="16">
        <v>26818.1</v>
      </c>
      <c r="E1557" s="18">
        <v>0.9179</v>
      </c>
      <c r="F1557" s="18">
        <v>0.0828</v>
      </c>
      <c r="G1557" s="16">
        <v>4809184.72</v>
      </c>
      <c r="H1557" s="16">
        <v>5730427.23</v>
      </c>
      <c r="I1557" s="7" t="s">
        <v>125</v>
      </c>
    </row>
    <row r="1558" ht="15" customHeight="1">
      <c r="A1558" s="8">
        <v>1556</v>
      </c>
      <c r="B1558" s="19">
        <v>0.5244</v>
      </c>
      <c r="C1558" s="19">
        <v>0.7273</v>
      </c>
      <c r="D1558" s="17">
        <v>37051.13</v>
      </c>
      <c r="E1558" s="19">
        <v>0.8282</v>
      </c>
      <c r="F1558" s="19">
        <v>0.1665</v>
      </c>
      <c r="G1558" s="17">
        <v>1056958.03</v>
      </c>
      <c r="H1558" s="17">
        <v>1332379.02</v>
      </c>
      <c r="I1558" s="8" t="s">
        <v>125</v>
      </c>
    </row>
    <row r="1559" ht="15" customHeight="1">
      <c r="A1559" s="7">
        <v>1557</v>
      </c>
      <c r="B1559" s="18">
        <v>0.5978</v>
      </c>
      <c r="C1559" s="18">
        <v>0.9899</v>
      </c>
      <c r="D1559" s="16">
        <v>34651.99</v>
      </c>
      <c r="E1559" s="18">
        <v>0.9451</v>
      </c>
      <c r="F1559" s="18">
        <v>0.0666</v>
      </c>
      <c r="G1559" s="16">
        <v>2539797.12</v>
      </c>
      <c r="H1559" s="16">
        <v>3054749.94</v>
      </c>
      <c r="I1559" s="7" t="s">
        <v>125</v>
      </c>
    </row>
    <row r="1560" ht="15" customHeight="1">
      <c r="A1560" s="8">
        <v>1558</v>
      </c>
      <c r="B1560" s="19">
        <v>0.3609</v>
      </c>
      <c r="C1560" s="19">
        <v>0.7879</v>
      </c>
      <c r="D1560" s="17">
        <v>29848.3</v>
      </c>
      <c r="E1560" s="19">
        <v>0.901</v>
      </c>
      <c r="F1560" s="19">
        <v>0.0345</v>
      </c>
      <c r="G1560" s="17">
        <v>466821.63</v>
      </c>
      <c r="H1560" s="17">
        <v>611147.57</v>
      </c>
      <c r="I1560" s="8" t="s">
        <v>125</v>
      </c>
    </row>
    <row r="1561" ht="15" customHeight="1">
      <c r="A1561" s="7">
        <v>1559</v>
      </c>
      <c r="B1561" s="18">
        <v>0.7041</v>
      </c>
      <c r="C1561" s="18">
        <v>1.1486</v>
      </c>
      <c r="D1561" s="16">
        <v>34994.31</v>
      </c>
      <c r="E1561" s="18">
        <v>0.9243</v>
      </c>
      <c r="F1561" s="18">
        <v>0.0889</v>
      </c>
      <c r="G1561" s="16">
        <v>4020650.09</v>
      </c>
      <c r="H1561" s="16">
        <v>4806701.58</v>
      </c>
      <c r="I1561" s="7" t="s">
        <v>125</v>
      </c>
    </row>
    <row r="1562" ht="15" customHeight="1">
      <c r="A1562" s="8">
        <v>1560</v>
      </c>
      <c r="B1562" s="19">
        <v>0.7077</v>
      </c>
      <c r="C1562" s="19">
        <v>1.0103</v>
      </c>
      <c r="D1562" s="17">
        <v>24693.09</v>
      </c>
      <c r="E1562" s="19">
        <v>0.9132</v>
      </c>
      <c r="F1562" s="19">
        <v>0.1078</v>
      </c>
      <c r="G1562" s="17">
        <v>3768101.37</v>
      </c>
      <c r="H1562" s="17">
        <v>4514450.68</v>
      </c>
      <c r="I1562" s="8" t="s">
        <v>125</v>
      </c>
    </row>
    <row r="1563" ht="15" customHeight="1">
      <c r="A1563" s="7">
        <v>1561</v>
      </c>
      <c r="B1563" s="18">
        <v>0.6695</v>
      </c>
      <c r="C1563" s="18">
        <v>0.8877</v>
      </c>
      <c r="D1563" s="16">
        <v>31770.47</v>
      </c>
      <c r="E1563" s="18">
        <v>0.9245</v>
      </c>
      <c r="F1563" s="18">
        <v>0.0869</v>
      </c>
      <c r="G1563" s="16">
        <v>2665896.88</v>
      </c>
      <c r="H1563" s="16">
        <v>3209464.5</v>
      </c>
      <c r="I1563" s="7" t="s">
        <v>125</v>
      </c>
    </row>
    <row r="1564" ht="15" customHeight="1">
      <c r="A1564" s="8">
        <v>1562</v>
      </c>
      <c r="B1564" s="19">
        <v>0.4572</v>
      </c>
      <c r="C1564" s="19">
        <v>1.0724</v>
      </c>
      <c r="D1564" s="17">
        <v>35389.38</v>
      </c>
      <c r="E1564" s="19">
        <v>0.8527</v>
      </c>
      <c r="F1564" s="19">
        <v>0.0346</v>
      </c>
      <c r="G1564" s="17">
        <v>1393478.26</v>
      </c>
      <c r="H1564" s="17">
        <v>1698854.2</v>
      </c>
      <c r="I1564" s="8" t="s">
        <v>125</v>
      </c>
    </row>
    <row r="1565" ht="15" customHeight="1">
      <c r="A1565" s="7">
        <v>1563</v>
      </c>
      <c r="B1565" s="18">
        <v>0.7779</v>
      </c>
      <c r="C1565" s="18">
        <v>0.879</v>
      </c>
      <c r="D1565" s="16">
        <v>31371.4</v>
      </c>
      <c r="E1565" s="18">
        <v>0.9256</v>
      </c>
      <c r="F1565" s="18">
        <v>0.0796</v>
      </c>
      <c r="G1565" s="16">
        <v>3239564.29</v>
      </c>
      <c r="H1565" s="16">
        <v>3882150.09</v>
      </c>
      <c r="I1565" s="7" t="s">
        <v>125</v>
      </c>
    </row>
    <row r="1566" ht="15" customHeight="1">
      <c r="A1566" s="8">
        <v>1564</v>
      </c>
      <c r="B1566" s="19">
        <v>0.5212</v>
      </c>
      <c r="C1566" s="19">
        <v>1.0117</v>
      </c>
      <c r="D1566" s="17">
        <v>24206.75</v>
      </c>
      <c r="E1566" s="19">
        <v>0.979</v>
      </c>
      <c r="F1566" s="19">
        <v>0.065</v>
      </c>
      <c r="G1566" s="17">
        <v>2548887.83</v>
      </c>
      <c r="H1566" s="17">
        <v>3063025.54</v>
      </c>
      <c r="I1566" s="8" t="s">
        <v>125</v>
      </c>
    </row>
    <row r="1567" ht="15" customHeight="1">
      <c r="A1567" s="7">
        <v>1565</v>
      </c>
      <c r="B1567" s="18">
        <v>0.6087</v>
      </c>
      <c r="C1567" s="18">
        <v>1.3156</v>
      </c>
      <c r="D1567" s="16">
        <v>32803.56</v>
      </c>
      <c r="E1567" s="18">
        <v>0.9301</v>
      </c>
      <c r="F1567" s="18">
        <v>0.0716</v>
      </c>
      <c r="G1567" s="16">
        <v>3944125.95</v>
      </c>
      <c r="H1567" s="16">
        <v>4708204.7</v>
      </c>
      <c r="I1567" s="7" t="s">
        <v>125</v>
      </c>
    </row>
    <row r="1568" ht="15" customHeight="1">
      <c r="A1568" s="8">
        <v>1566</v>
      </c>
      <c r="B1568" s="19">
        <v>0.8173</v>
      </c>
      <c r="C1568" s="19">
        <v>0.9241</v>
      </c>
      <c r="D1568" s="17">
        <v>34643.78</v>
      </c>
      <c r="E1568" s="19">
        <v>0.8526</v>
      </c>
      <c r="F1568" s="19">
        <v>0.0977</v>
      </c>
      <c r="G1568" s="17">
        <v>3331076.96</v>
      </c>
      <c r="H1568" s="17">
        <v>3997862.25</v>
      </c>
      <c r="I1568" s="8" t="s">
        <v>125</v>
      </c>
    </row>
    <row r="1569" ht="15" customHeight="1">
      <c r="A1569" s="7">
        <v>1567</v>
      </c>
      <c r="B1569" s="18">
        <v>0.5745</v>
      </c>
      <c r="C1569" s="18">
        <v>0.9832</v>
      </c>
      <c r="D1569" s="16">
        <v>30788.11</v>
      </c>
      <c r="E1569" s="18">
        <v>0.9131</v>
      </c>
      <c r="F1569" s="18">
        <v>0.1197</v>
      </c>
      <c r="G1569" s="16">
        <v>2616111.81</v>
      </c>
      <c r="H1569" s="16">
        <v>3161301.27</v>
      </c>
      <c r="I1569" s="7" t="s">
        <v>125</v>
      </c>
    </row>
    <row r="1570" ht="15" customHeight="1">
      <c r="A1570" s="8">
        <v>1568</v>
      </c>
      <c r="B1570" s="19">
        <v>0.6672</v>
      </c>
      <c r="C1570" s="19">
        <v>0.926</v>
      </c>
      <c r="D1570" s="17">
        <v>29379.39</v>
      </c>
      <c r="E1570" s="19">
        <v>0.8651</v>
      </c>
      <c r="F1570" s="19">
        <v>0.1086</v>
      </c>
      <c r="G1570" s="17">
        <v>2743677</v>
      </c>
      <c r="H1570" s="17">
        <v>3307795.24</v>
      </c>
      <c r="I1570" s="8" t="s">
        <v>125</v>
      </c>
    </row>
    <row r="1571" ht="15" customHeight="1">
      <c r="A1571" s="7">
        <v>1569</v>
      </c>
      <c r="B1571" s="18">
        <v>0.4411</v>
      </c>
      <c r="C1571" s="18">
        <v>1.0109</v>
      </c>
      <c r="D1571" s="16">
        <v>29442.6</v>
      </c>
      <c r="E1571" s="18">
        <v>0.9524</v>
      </c>
      <c r="F1571" s="18">
        <v>0.1305</v>
      </c>
      <c r="G1571" s="16">
        <v>2012286.03</v>
      </c>
      <c r="H1571" s="16">
        <v>2450976.56</v>
      </c>
      <c r="I1571" s="7" t="s">
        <v>125</v>
      </c>
    </row>
    <row r="1572" ht="15" customHeight="1">
      <c r="A1572" s="8">
        <v>1570</v>
      </c>
      <c r="B1572" s="19">
        <v>0.6651</v>
      </c>
      <c r="C1572" s="19">
        <v>1.0102</v>
      </c>
      <c r="D1572" s="17">
        <v>26017.93</v>
      </c>
      <c r="E1572" s="19">
        <v>0.8937</v>
      </c>
      <c r="F1572" s="19">
        <v>0.1307</v>
      </c>
      <c r="G1572" s="17">
        <v>3471749.62</v>
      </c>
      <c r="H1572" s="17">
        <v>4174015.5</v>
      </c>
      <c r="I1572" s="8" t="s">
        <v>125</v>
      </c>
    </row>
    <row r="1573" ht="15" customHeight="1">
      <c r="A1573" s="7">
        <v>1571</v>
      </c>
      <c r="B1573" s="18">
        <v>0.719</v>
      </c>
      <c r="C1573" s="18">
        <v>1.3579</v>
      </c>
      <c r="D1573" s="16">
        <v>28576.84</v>
      </c>
      <c r="E1573" s="18">
        <v>0.8638</v>
      </c>
      <c r="F1573" s="18">
        <v>0.1359</v>
      </c>
      <c r="G1573" s="16">
        <v>5307149.27</v>
      </c>
      <c r="H1573" s="16">
        <v>6346025.54</v>
      </c>
      <c r="I1573" s="7" t="s">
        <v>125</v>
      </c>
    </row>
    <row r="1574" ht="15" customHeight="1">
      <c r="A1574" s="8">
        <v>1572</v>
      </c>
      <c r="B1574" s="19">
        <v>0.5016</v>
      </c>
      <c r="C1574" s="19">
        <v>1.1102</v>
      </c>
      <c r="D1574" s="17">
        <v>26359.3</v>
      </c>
      <c r="E1574" s="19">
        <v>0.9211</v>
      </c>
      <c r="F1574" s="19">
        <v>0.1091</v>
      </c>
      <c r="G1574" s="17">
        <v>2677360.91</v>
      </c>
      <c r="H1574" s="17">
        <v>3228829.47</v>
      </c>
      <c r="I1574" s="8" t="s">
        <v>125</v>
      </c>
    </row>
    <row r="1575" ht="15" customHeight="1">
      <c r="A1575" s="7">
        <v>1573</v>
      </c>
      <c r="B1575" s="18">
        <v>0.6171</v>
      </c>
      <c r="C1575" s="18">
        <v>1.1259</v>
      </c>
      <c r="D1575" s="16">
        <v>23851.03</v>
      </c>
      <c r="E1575" s="18">
        <v>0.9111</v>
      </c>
      <c r="F1575" s="18">
        <v>0.1539</v>
      </c>
      <c r="G1575" s="16">
        <v>3937617.14</v>
      </c>
      <c r="H1575" s="16">
        <v>4733046.98</v>
      </c>
      <c r="I1575" s="7" t="s">
        <v>125</v>
      </c>
    </row>
    <row r="1576" ht="15" customHeight="1">
      <c r="A1576" s="8">
        <v>1574</v>
      </c>
      <c r="B1576" s="19">
        <v>0.7421</v>
      </c>
      <c r="C1576" s="19">
        <v>0.6995</v>
      </c>
      <c r="D1576" s="17">
        <v>29012.09</v>
      </c>
      <c r="E1576" s="19">
        <v>0.8202</v>
      </c>
      <c r="F1576" s="19">
        <v>0.1264</v>
      </c>
      <c r="G1576" s="17">
        <v>2016515.93</v>
      </c>
      <c r="H1576" s="17">
        <v>2454735.1</v>
      </c>
      <c r="I1576" s="8" t="s">
        <v>125</v>
      </c>
    </row>
    <row r="1577" ht="15" customHeight="1">
      <c r="A1577" s="7">
        <v>1575</v>
      </c>
      <c r="B1577" s="18">
        <v>0.5801</v>
      </c>
      <c r="C1577" s="18">
        <v>1.3214</v>
      </c>
      <c r="D1577" s="16">
        <v>27934.76</v>
      </c>
      <c r="E1577" s="18">
        <v>0.8666</v>
      </c>
      <c r="F1577" s="18">
        <v>0.104</v>
      </c>
      <c r="G1577" s="16">
        <v>3728905.69</v>
      </c>
      <c r="H1577" s="16">
        <v>4467614.49</v>
      </c>
      <c r="I1577" s="7" t="s">
        <v>125</v>
      </c>
    </row>
    <row r="1578" ht="15" customHeight="1">
      <c r="A1578" s="8">
        <v>1576</v>
      </c>
      <c r="B1578" s="19">
        <v>0.4348</v>
      </c>
      <c r="C1578" s="19">
        <v>1.0891</v>
      </c>
      <c r="D1578" s="17">
        <v>27183.33</v>
      </c>
      <c r="E1578" s="19">
        <v>0.909</v>
      </c>
      <c r="F1578" s="19">
        <v>0.0895</v>
      </c>
      <c r="G1578" s="17">
        <v>1952803.02</v>
      </c>
      <c r="H1578" s="17">
        <v>2369226.94</v>
      </c>
      <c r="I1578" s="8" t="s">
        <v>125</v>
      </c>
    </row>
    <row r="1579" ht="15" customHeight="1">
      <c r="A1579" s="7">
        <v>1577</v>
      </c>
      <c r="B1579" s="18">
        <v>0.7005</v>
      </c>
      <c r="C1579" s="18">
        <v>0.8646</v>
      </c>
      <c r="D1579" s="16">
        <v>19992.67</v>
      </c>
      <c r="E1579" s="18">
        <v>0.8804</v>
      </c>
      <c r="F1579" s="18">
        <v>0.169</v>
      </c>
      <c r="G1579" s="16">
        <v>3347261.27</v>
      </c>
      <c r="H1579" s="16">
        <v>4038124.32</v>
      </c>
      <c r="I1579" s="7" t="s">
        <v>125</v>
      </c>
    </row>
    <row r="1580" ht="15" customHeight="1">
      <c r="A1580" s="8">
        <v>1578</v>
      </c>
      <c r="B1580" s="19">
        <v>0.3819</v>
      </c>
      <c r="C1580" s="19">
        <v>1.0286</v>
      </c>
      <c r="D1580" s="17">
        <v>26356.64</v>
      </c>
      <c r="E1580" s="19">
        <v>0.908</v>
      </c>
      <c r="F1580" s="19">
        <v>0.0543</v>
      </c>
      <c r="G1580" s="17">
        <v>1320725.46</v>
      </c>
      <c r="H1580" s="17">
        <v>1616947.74</v>
      </c>
      <c r="I1580" s="8" t="s">
        <v>125</v>
      </c>
    </row>
    <row r="1581" ht="15" customHeight="1">
      <c r="A1581" s="7">
        <v>1579</v>
      </c>
      <c r="B1581" s="18">
        <v>0.7862</v>
      </c>
      <c r="C1581" s="18">
        <v>1.1321</v>
      </c>
      <c r="D1581" s="16">
        <v>31806.7</v>
      </c>
      <c r="E1581" s="18">
        <v>0.8919</v>
      </c>
      <c r="F1581" s="18">
        <v>0.1379</v>
      </c>
      <c r="G1581" s="16">
        <v>4839909.72</v>
      </c>
      <c r="H1581" s="16">
        <v>5795968.9</v>
      </c>
      <c r="I1581" s="7" t="s">
        <v>125</v>
      </c>
    </row>
    <row r="1582" ht="15" customHeight="1">
      <c r="A1582" s="8">
        <v>1580</v>
      </c>
      <c r="B1582" s="19">
        <v>0.6782</v>
      </c>
      <c r="C1582" s="19">
        <v>0.8892</v>
      </c>
      <c r="D1582" s="17">
        <v>28289.46</v>
      </c>
      <c r="E1582" s="19">
        <v>0.8284</v>
      </c>
      <c r="F1582" s="19">
        <v>0.1087</v>
      </c>
      <c r="G1582" s="17">
        <v>2516189.72</v>
      </c>
      <c r="H1582" s="17">
        <v>3039139.85</v>
      </c>
      <c r="I1582" s="8" t="s">
        <v>125</v>
      </c>
    </row>
    <row r="1583" ht="15" customHeight="1">
      <c r="A1583" s="7">
        <v>1581</v>
      </c>
      <c r="B1583" s="18">
        <v>0.535</v>
      </c>
      <c r="C1583" s="18">
        <v>1.1329</v>
      </c>
      <c r="D1583" s="16">
        <v>20660.79</v>
      </c>
      <c r="E1583" s="18">
        <v>0.9054</v>
      </c>
      <c r="F1583" s="18">
        <v>0.1016</v>
      </c>
      <c r="G1583" s="16">
        <v>3080983.75</v>
      </c>
      <c r="H1583" s="16">
        <v>3700743.42</v>
      </c>
      <c r="I1583" s="7" t="s">
        <v>125</v>
      </c>
    </row>
    <row r="1584" ht="15" customHeight="1">
      <c r="A1584" s="8">
        <v>1582</v>
      </c>
      <c r="B1584" s="19">
        <v>0.418</v>
      </c>
      <c r="C1584" s="19">
        <v>1.3248</v>
      </c>
      <c r="D1584" s="17">
        <v>30967.1</v>
      </c>
      <c r="E1584" s="19">
        <v>0.9345</v>
      </c>
      <c r="F1584" s="19">
        <v>0.1617</v>
      </c>
      <c r="G1584" s="17">
        <v>2843456.59</v>
      </c>
      <c r="H1584" s="17">
        <v>3443846.15</v>
      </c>
      <c r="I1584" s="8" t="s">
        <v>125</v>
      </c>
    </row>
    <row r="1585" ht="15" customHeight="1">
      <c r="A1585" s="7">
        <v>1583</v>
      </c>
      <c r="B1585" s="18">
        <v>0.5841</v>
      </c>
      <c r="C1585" s="18">
        <v>0.7608</v>
      </c>
      <c r="D1585" s="16">
        <v>28308.48</v>
      </c>
      <c r="E1585" s="18">
        <v>0.8978</v>
      </c>
      <c r="F1585" s="18">
        <v>0.0882</v>
      </c>
      <c r="G1585" s="16">
        <v>1683552.05</v>
      </c>
      <c r="H1585" s="16">
        <v>2051994.13</v>
      </c>
      <c r="I1585" s="7" t="s">
        <v>125</v>
      </c>
    </row>
    <row r="1586" ht="15" customHeight="1">
      <c r="A1586" s="8">
        <v>1584</v>
      </c>
      <c r="B1586" s="19">
        <v>0.4604</v>
      </c>
      <c r="C1586" s="19">
        <v>0.9752</v>
      </c>
      <c r="D1586" s="17">
        <v>14398.41</v>
      </c>
      <c r="E1586" s="19">
        <v>0.8355</v>
      </c>
      <c r="F1586" s="19">
        <v>0.1579</v>
      </c>
      <c r="G1586" s="17">
        <v>2198018.48</v>
      </c>
      <c r="H1586" s="17">
        <v>2671779.34</v>
      </c>
      <c r="I1586" s="8" t="s">
        <v>125</v>
      </c>
    </row>
    <row r="1587" ht="15" customHeight="1">
      <c r="A1587" s="7">
        <v>1585</v>
      </c>
      <c r="B1587" s="18">
        <v>0.5694</v>
      </c>
      <c r="C1587" s="18">
        <v>0.7486</v>
      </c>
      <c r="D1587" s="16">
        <v>28867.26</v>
      </c>
      <c r="E1587" s="18">
        <v>0.8793</v>
      </c>
      <c r="F1587" s="18">
        <v>0.0346</v>
      </c>
      <c r="G1587" s="16">
        <v>1300960.77</v>
      </c>
      <c r="H1587" s="16">
        <v>1589686.14</v>
      </c>
      <c r="I1587" s="7" t="s">
        <v>125</v>
      </c>
    </row>
    <row r="1588" ht="15" customHeight="1">
      <c r="A1588" s="8">
        <v>1586</v>
      </c>
      <c r="B1588" s="19">
        <v>0.6522</v>
      </c>
      <c r="C1588" s="19">
        <v>0.9713</v>
      </c>
      <c r="D1588" s="17">
        <v>31005.1</v>
      </c>
      <c r="E1588" s="19">
        <v>0.9185</v>
      </c>
      <c r="F1588" s="19">
        <v>0.1939</v>
      </c>
      <c r="G1588" s="17">
        <v>3553707.14</v>
      </c>
      <c r="H1588" s="17">
        <v>4296965.35</v>
      </c>
      <c r="I1588" s="8" t="s">
        <v>125</v>
      </c>
    </row>
    <row r="1589" ht="15" customHeight="1">
      <c r="A1589" s="7">
        <v>1587</v>
      </c>
      <c r="B1589" s="18">
        <v>0.7604</v>
      </c>
      <c r="C1589" s="18">
        <v>0.8165</v>
      </c>
      <c r="D1589" s="16">
        <v>29974.69</v>
      </c>
      <c r="E1589" s="18">
        <v>0.9418</v>
      </c>
      <c r="F1589" s="18">
        <v>0.1242</v>
      </c>
      <c r="G1589" s="16">
        <v>3191507.07</v>
      </c>
      <c r="H1589" s="16">
        <v>3841969.32</v>
      </c>
      <c r="I1589" s="7" t="s">
        <v>125</v>
      </c>
    </row>
    <row r="1590" ht="15" customHeight="1">
      <c r="A1590" s="8">
        <v>1588</v>
      </c>
      <c r="B1590" s="19">
        <v>0.7142</v>
      </c>
      <c r="C1590" s="19">
        <v>0.7793</v>
      </c>
      <c r="D1590" s="17">
        <v>38112.3</v>
      </c>
      <c r="E1590" s="19">
        <v>0.9007</v>
      </c>
      <c r="F1590" s="19">
        <v>0.0682</v>
      </c>
      <c r="G1590" s="17">
        <v>2031111.12</v>
      </c>
      <c r="H1590" s="17">
        <v>2457645.9</v>
      </c>
      <c r="I1590" s="8" t="s">
        <v>125</v>
      </c>
    </row>
    <row r="1591" ht="15" customHeight="1">
      <c r="A1591" s="7">
        <v>1589</v>
      </c>
      <c r="B1591" s="18">
        <v>0.58</v>
      </c>
      <c r="C1591" s="18">
        <v>1.2457</v>
      </c>
      <c r="D1591" s="16">
        <v>32364.22</v>
      </c>
      <c r="E1591" s="18">
        <v>0.9061</v>
      </c>
      <c r="F1591" s="18">
        <v>0.0275</v>
      </c>
      <c r="G1591" s="16">
        <v>3046360.7</v>
      </c>
      <c r="H1591" s="16">
        <v>3634967.02</v>
      </c>
      <c r="I1591" s="7" t="s">
        <v>125</v>
      </c>
    </row>
    <row r="1592" ht="15" customHeight="1">
      <c r="A1592" s="8">
        <v>1590</v>
      </c>
      <c r="B1592" s="19">
        <v>0.6775</v>
      </c>
      <c r="C1592" s="19">
        <v>1.0879</v>
      </c>
      <c r="D1592" s="17">
        <v>26774.13</v>
      </c>
      <c r="E1592" s="19">
        <v>0.9108</v>
      </c>
      <c r="F1592" s="19">
        <v>0.067</v>
      </c>
      <c r="G1592" s="17">
        <v>3577174.82</v>
      </c>
      <c r="H1592" s="17">
        <v>4273421.68</v>
      </c>
      <c r="I1592" s="8" t="s">
        <v>125</v>
      </c>
    </row>
    <row r="1593" ht="15" customHeight="1">
      <c r="A1593" s="7">
        <v>1591</v>
      </c>
      <c r="B1593" s="18">
        <v>0.4861</v>
      </c>
      <c r="C1593" s="18">
        <v>0.9285</v>
      </c>
      <c r="D1593" s="16">
        <v>22995.86</v>
      </c>
      <c r="E1593" s="18">
        <v>0.9041</v>
      </c>
      <c r="F1593" s="18">
        <v>0.0798</v>
      </c>
      <c r="G1593" s="16">
        <v>1880069.07</v>
      </c>
      <c r="H1593" s="16">
        <v>2280089.3</v>
      </c>
      <c r="I1593" s="7" t="s">
        <v>125</v>
      </c>
    </row>
    <row r="1594" ht="15" customHeight="1">
      <c r="A1594" s="8">
        <v>1592</v>
      </c>
      <c r="B1594" s="19">
        <v>0.4182</v>
      </c>
      <c r="C1594" s="19">
        <v>0.8285</v>
      </c>
      <c r="D1594" s="17">
        <v>28256.25</v>
      </c>
      <c r="E1594" s="19">
        <v>0.9125</v>
      </c>
      <c r="F1594" s="19">
        <v>0.1237</v>
      </c>
      <c r="G1594" s="17">
        <v>1192034.65</v>
      </c>
      <c r="H1594" s="17">
        <v>1480181.66</v>
      </c>
      <c r="I1594" s="8" t="s">
        <v>125</v>
      </c>
    </row>
    <row r="1595" ht="15" customHeight="1">
      <c r="A1595" s="7">
        <v>1593</v>
      </c>
      <c r="B1595" s="18">
        <v>0.7586</v>
      </c>
      <c r="C1595" s="18">
        <v>0.9355</v>
      </c>
      <c r="D1595" s="16">
        <v>26123.53</v>
      </c>
      <c r="E1595" s="18">
        <v>0.9184</v>
      </c>
      <c r="F1595" s="18">
        <v>0.0893</v>
      </c>
      <c r="G1595" s="16">
        <v>3597957.95</v>
      </c>
      <c r="H1595" s="16">
        <v>4306800.8</v>
      </c>
      <c r="I1595" s="7" t="s">
        <v>125</v>
      </c>
    </row>
    <row r="1596" ht="15" customHeight="1">
      <c r="A1596" s="8">
        <v>1594</v>
      </c>
      <c r="B1596" s="19">
        <v>0.7551</v>
      </c>
      <c r="C1596" s="19">
        <v>1.3095</v>
      </c>
      <c r="D1596" s="17">
        <v>31340.2</v>
      </c>
      <c r="E1596" s="19">
        <v>0.9461</v>
      </c>
      <c r="F1596" s="19">
        <v>0.0384</v>
      </c>
      <c r="G1596" s="17">
        <v>5056028.75</v>
      </c>
      <c r="H1596" s="17">
        <v>5997553.1</v>
      </c>
      <c r="I1596" s="8" t="s">
        <v>125</v>
      </c>
    </row>
    <row r="1597" ht="15" customHeight="1">
      <c r="A1597" s="7">
        <v>1595</v>
      </c>
      <c r="B1597" s="18">
        <v>0.5758</v>
      </c>
      <c r="C1597" s="18">
        <v>1.1924</v>
      </c>
      <c r="D1597" s="16">
        <v>32485.01</v>
      </c>
      <c r="E1597" s="18">
        <v>0.8709</v>
      </c>
      <c r="F1597" s="18">
        <v>0.1412</v>
      </c>
      <c r="G1597" s="16">
        <v>3315898.92</v>
      </c>
      <c r="H1597" s="16">
        <v>3996122.67</v>
      </c>
      <c r="I1597" s="7" t="s">
        <v>125</v>
      </c>
    </row>
    <row r="1598" ht="15" customHeight="1">
      <c r="A1598" s="8">
        <v>1596</v>
      </c>
      <c r="B1598" s="19">
        <v>0.5655</v>
      </c>
      <c r="C1598" s="19">
        <v>1.0923</v>
      </c>
      <c r="D1598" s="17">
        <v>31373.54</v>
      </c>
      <c r="E1598" s="19">
        <v>0.8533</v>
      </c>
      <c r="F1598" s="19">
        <v>0.1071</v>
      </c>
      <c r="G1598" s="17">
        <v>2618766.21</v>
      </c>
      <c r="H1598" s="17">
        <v>3160521.29</v>
      </c>
      <c r="I1598" s="8" t="s">
        <v>125</v>
      </c>
    </row>
    <row r="1599" ht="15" customHeight="1">
      <c r="A1599" s="7">
        <v>1597</v>
      </c>
      <c r="B1599" s="18">
        <v>0.5583</v>
      </c>
      <c r="C1599" s="18">
        <v>1.0371</v>
      </c>
      <c r="D1599" s="16">
        <v>27004.19</v>
      </c>
      <c r="E1599" s="18">
        <v>0.9073</v>
      </c>
      <c r="F1599" s="18">
        <v>0.1619</v>
      </c>
      <c r="G1599" s="16">
        <v>3029886.67</v>
      </c>
      <c r="H1599" s="16">
        <v>3662942.49</v>
      </c>
      <c r="I1599" s="7" t="s">
        <v>125</v>
      </c>
    </row>
    <row r="1600" ht="15" customHeight="1">
      <c r="A1600" s="8">
        <v>1598</v>
      </c>
      <c r="B1600" s="19">
        <v>0.5289</v>
      </c>
      <c r="C1600" s="19">
        <v>0.982</v>
      </c>
      <c r="D1600" s="17">
        <v>27289.56</v>
      </c>
      <c r="E1600" s="19">
        <v>0.8949</v>
      </c>
      <c r="F1600" s="19">
        <v>0.1456</v>
      </c>
      <c r="G1600" s="17">
        <v>2458094.47</v>
      </c>
      <c r="H1600" s="17">
        <v>2981359.53</v>
      </c>
      <c r="I1600" s="8" t="s">
        <v>125</v>
      </c>
    </row>
    <row r="1601" ht="15" customHeight="1">
      <c r="A1601" s="7">
        <v>1599</v>
      </c>
      <c r="B1601" s="18">
        <v>0.5022</v>
      </c>
      <c r="C1601" s="18">
        <v>0.9479</v>
      </c>
      <c r="D1601" s="16">
        <v>18078.09</v>
      </c>
      <c r="E1601" s="18">
        <v>0.874</v>
      </c>
      <c r="F1601" s="18">
        <v>0.1678</v>
      </c>
      <c r="G1601" s="16">
        <v>2453567.91</v>
      </c>
      <c r="H1601" s="16">
        <v>2978417.34</v>
      </c>
      <c r="I1601" s="7" t="s">
        <v>125</v>
      </c>
    </row>
    <row r="1602" ht="15" customHeight="1">
      <c r="A1602" s="8">
        <v>1600</v>
      </c>
      <c r="B1602" s="19">
        <v>0.6731</v>
      </c>
      <c r="C1602" s="19">
        <v>1.1239</v>
      </c>
      <c r="D1602" s="17">
        <v>34333.5</v>
      </c>
      <c r="E1602" s="19">
        <v>0.8807</v>
      </c>
      <c r="F1602" s="19">
        <v>0.1624</v>
      </c>
      <c r="G1602" s="17">
        <v>3936834.36</v>
      </c>
      <c r="H1602" s="17">
        <v>4740018.66</v>
      </c>
      <c r="I1602" s="8" t="s">
        <v>125</v>
      </c>
    </row>
    <row r="1603" ht="15" customHeight="1">
      <c r="A1603" s="7">
        <v>1601</v>
      </c>
      <c r="B1603" s="18">
        <v>0.6539</v>
      </c>
      <c r="C1603" s="18">
        <v>0.8636</v>
      </c>
      <c r="D1603" s="16">
        <v>21309.96</v>
      </c>
      <c r="E1603" s="18">
        <v>0.951</v>
      </c>
      <c r="F1603" s="18">
        <v>0.1301</v>
      </c>
      <c r="G1603" s="16">
        <v>3125624.42</v>
      </c>
      <c r="H1603" s="16">
        <v>3763295.26</v>
      </c>
      <c r="I1603" s="7" t="s">
        <v>125</v>
      </c>
    </row>
    <row r="1604" ht="15" customHeight="1">
      <c r="A1604" s="8">
        <v>1602</v>
      </c>
      <c r="B1604" s="19">
        <v>0.7009</v>
      </c>
      <c r="C1604" s="19">
        <v>0.9404</v>
      </c>
      <c r="D1604" s="17">
        <v>35714.78</v>
      </c>
      <c r="E1604" s="19">
        <v>0.8533</v>
      </c>
      <c r="F1604" s="19">
        <v>0.1504</v>
      </c>
      <c r="G1604" s="17">
        <v>2992625.41</v>
      </c>
      <c r="H1604" s="17">
        <v>3618460.05</v>
      </c>
      <c r="I1604" s="8" t="s">
        <v>125</v>
      </c>
    </row>
    <row r="1605" ht="15" customHeight="1">
      <c r="A1605" s="7">
        <v>1603</v>
      </c>
      <c r="B1605" s="18">
        <v>0.5563</v>
      </c>
      <c r="C1605" s="18">
        <v>0.8141</v>
      </c>
      <c r="D1605" s="16">
        <v>24228.13</v>
      </c>
      <c r="E1605" s="18">
        <v>0.872</v>
      </c>
      <c r="F1605" s="18">
        <v>0.1258</v>
      </c>
      <c r="G1605" s="16">
        <v>1925199.52</v>
      </c>
      <c r="H1605" s="16">
        <v>2345105.09</v>
      </c>
      <c r="I1605" s="7" t="s">
        <v>125</v>
      </c>
    </row>
    <row r="1606" ht="15" customHeight="1">
      <c r="A1606" s="8">
        <v>1604</v>
      </c>
      <c r="B1606" s="19">
        <v>0.4579</v>
      </c>
      <c r="C1606" s="19">
        <v>1.1442</v>
      </c>
      <c r="D1606" s="17">
        <v>18959.63</v>
      </c>
      <c r="E1606" s="19">
        <v>0.9259</v>
      </c>
      <c r="F1606" s="19">
        <v>0.1116</v>
      </c>
      <c r="G1606" s="17">
        <v>2709010.3</v>
      </c>
      <c r="H1606" s="17">
        <v>3264762.25</v>
      </c>
      <c r="I1606" s="8" t="s">
        <v>125</v>
      </c>
    </row>
    <row r="1607" ht="15" customHeight="1">
      <c r="A1607" s="7">
        <v>1605</v>
      </c>
      <c r="B1607" s="18">
        <v>0.5169</v>
      </c>
      <c r="C1607" s="18">
        <v>1.1086</v>
      </c>
      <c r="D1607" s="16">
        <v>23126.04</v>
      </c>
      <c r="E1607" s="18">
        <v>0.8661</v>
      </c>
      <c r="F1607" s="18">
        <v>0.106</v>
      </c>
      <c r="G1607" s="16">
        <v>2637905.59</v>
      </c>
      <c r="H1607" s="16">
        <v>3180396.47</v>
      </c>
      <c r="I1607" s="7" t="s">
        <v>125</v>
      </c>
    </row>
    <row r="1608" ht="15" customHeight="1">
      <c r="A1608" s="8">
        <v>1606</v>
      </c>
      <c r="B1608" s="19">
        <v>0.5198</v>
      </c>
      <c r="C1608" s="19">
        <v>0.8694</v>
      </c>
      <c r="D1608" s="17">
        <v>26415.35</v>
      </c>
      <c r="E1608" s="19">
        <v>0.839</v>
      </c>
      <c r="F1608" s="19">
        <v>0.0835</v>
      </c>
      <c r="G1608" s="17">
        <v>1580462.46</v>
      </c>
      <c r="H1608" s="17">
        <v>1929037.81</v>
      </c>
      <c r="I1608" s="8" t="s">
        <v>125</v>
      </c>
    </row>
    <row r="1609" ht="15" customHeight="1">
      <c r="A1609" s="7">
        <v>1607</v>
      </c>
      <c r="B1609" s="18">
        <v>0.6163</v>
      </c>
      <c r="C1609" s="18">
        <v>0.8239</v>
      </c>
      <c r="D1609" s="16">
        <v>27679.26</v>
      </c>
      <c r="E1609" s="18">
        <v>0.9041</v>
      </c>
      <c r="F1609" s="18">
        <v>-0.0185</v>
      </c>
      <c r="G1609" s="16">
        <v>1689749.53</v>
      </c>
      <c r="H1609" s="16">
        <v>2031759.76</v>
      </c>
      <c r="I1609" s="7" t="s">
        <v>125</v>
      </c>
    </row>
    <row r="1610" ht="15" customHeight="1">
      <c r="A1610" s="8">
        <v>1608</v>
      </c>
      <c r="B1610" s="19">
        <v>0.7127</v>
      </c>
      <c r="C1610" s="19">
        <v>1.3703</v>
      </c>
      <c r="D1610" s="17">
        <v>28399.41</v>
      </c>
      <c r="E1610" s="19">
        <v>0.9319</v>
      </c>
      <c r="F1610" s="19">
        <v>0.1562</v>
      </c>
      <c r="G1610" s="17">
        <v>6018294.25</v>
      </c>
      <c r="H1610" s="17">
        <v>7198264.72</v>
      </c>
      <c r="I1610" s="8" t="s">
        <v>125</v>
      </c>
    </row>
    <row r="1611" ht="15" customHeight="1">
      <c r="A1611" s="7">
        <v>1609</v>
      </c>
      <c r="B1611" s="18">
        <v>0.3612</v>
      </c>
      <c r="C1611" s="18">
        <v>1.1026</v>
      </c>
      <c r="D1611" s="16">
        <v>23776.49</v>
      </c>
      <c r="E1611" s="18">
        <v>0.8736</v>
      </c>
      <c r="F1611" s="18">
        <v>0.0983</v>
      </c>
      <c r="G1611" s="16">
        <v>1485293.21</v>
      </c>
      <c r="H1611" s="16">
        <v>1819579</v>
      </c>
      <c r="I1611" s="7" t="s">
        <v>125</v>
      </c>
    </row>
    <row r="1612" ht="15" customHeight="1">
      <c r="A1612" s="8">
        <v>1610</v>
      </c>
      <c r="B1612" s="19">
        <v>0.4739</v>
      </c>
      <c r="C1612" s="19">
        <v>1.2282</v>
      </c>
      <c r="D1612" s="17">
        <v>30985.57</v>
      </c>
      <c r="E1612" s="19">
        <v>0.833</v>
      </c>
      <c r="F1612" s="19">
        <v>0.0823</v>
      </c>
      <c r="G1612" s="17">
        <v>2198696.78</v>
      </c>
      <c r="H1612" s="17">
        <v>2657645.56</v>
      </c>
      <c r="I1612" s="8" t="s">
        <v>125</v>
      </c>
    </row>
    <row r="1613" ht="15" customHeight="1">
      <c r="A1613" s="7">
        <v>1611</v>
      </c>
      <c r="B1613" s="18">
        <v>0.698</v>
      </c>
      <c r="C1613" s="18">
        <v>1.2896</v>
      </c>
      <c r="D1613" s="16">
        <v>22342.84</v>
      </c>
      <c r="E1613" s="18">
        <v>0.9048</v>
      </c>
      <c r="F1613" s="18">
        <v>0.1117</v>
      </c>
      <c r="G1613" s="16">
        <v>5078388.62</v>
      </c>
      <c r="H1613" s="16">
        <v>6061243.86</v>
      </c>
      <c r="I1613" s="7" t="s">
        <v>125</v>
      </c>
    </row>
    <row r="1614" ht="15" customHeight="1">
      <c r="A1614" s="8">
        <v>1612</v>
      </c>
      <c r="B1614" s="19">
        <v>0.5755</v>
      </c>
      <c r="C1614" s="19">
        <v>0.857</v>
      </c>
      <c r="D1614" s="17">
        <v>29988.9</v>
      </c>
      <c r="E1614" s="19">
        <v>0.9134</v>
      </c>
      <c r="F1614" s="19">
        <v>0.0068</v>
      </c>
      <c r="G1614" s="17">
        <v>1664914.9</v>
      </c>
      <c r="H1614" s="17">
        <v>2009440.98</v>
      </c>
      <c r="I1614" s="8" t="s">
        <v>125</v>
      </c>
    </row>
    <row r="1615" ht="15" customHeight="1">
      <c r="A1615" s="7">
        <v>1613</v>
      </c>
      <c r="B1615" s="18">
        <v>0.7076</v>
      </c>
      <c r="C1615" s="18">
        <v>0.8362</v>
      </c>
      <c r="D1615" s="16">
        <v>22188.23</v>
      </c>
      <c r="E1615" s="18">
        <v>0.8444</v>
      </c>
      <c r="F1615" s="18">
        <v>0.1131</v>
      </c>
      <c r="G1615" s="16">
        <v>2726203.58</v>
      </c>
      <c r="H1615" s="16">
        <v>3286488.25</v>
      </c>
      <c r="I1615" s="7" t="s">
        <v>125</v>
      </c>
    </row>
    <row r="1616" ht="15" customHeight="1">
      <c r="A1616" s="8">
        <v>1614</v>
      </c>
      <c r="B1616" s="19">
        <v>0.6114</v>
      </c>
      <c r="C1616" s="19">
        <v>1.1427</v>
      </c>
      <c r="D1616" s="17">
        <v>25351.29</v>
      </c>
      <c r="E1616" s="19">
        <v>0.817</v>
      </c>
      <c r="F1616" s="19">
        <v>0.0575</v>
      </c>
      <c r="G1616" s="17">
        <v>2858559.54</v>
      </c>
      <c r="H1616" s="17">
        <v>3424780.17</v>
      </c>
      <c r="I1616" s="8" t="s">
        <v>125</v>
      </c>
    </row>
    <row r="1617" ht="15" customHeight="1">
      <c r="A1617" s="7">
        <v>1615</v>
      </c>
      <c r="B1617" s="18">
        <v>0.7834</v>
      </c>
      <c r="C1617" s="18">
        <v>1.0153</v>
      </c>
      <c r="D1617" s="16">
        <v>29277.92</v>
      </c>
      <c r="E1617" s="18">
        <v>0.8649</v>
      </c>
      <c r="F1617" s="18">
        <v>0.1464</v>
      </c>
      <c r="G1617" s="16">
        <v>4154096.94</v>
      </c>
      <c r="H1617" s="16">
        <v>4988176.13</v>
      </c>
      <c r="I1617" s="7" t="s">
        <v>125</v>
      </c>
    </row>
    <row r="1618" ht="15" customHeight="1">
      <c r="A1618" s="8">
        <v>1616</v>
      </c>
      <c r="B1618" s="19">
        <v>0.4402</v>
      </c>
      <c r="C1618" s="19">
        <v>0.8109</v>
      </c>
      <c r="D1618" s="17">
        <v>28258.8</v>
      </c>
      <c r="E1618" s="19">
        <v>0.8865</v>
      </c>
      <c r="F1618" s="19">
        <v>0.1423</v>
      </c>
      <c r="G1618" s="17">
        <v>1253674.56</v>
      </c>
      <c r="H1618" s="17">
        <v>1556725.64</v>
      </c>
      <c r="I1618" s="8" t="s">
        <v>125</v>
      </c>
    </row>
    <row r="1619" ht="15" customHeight="1">
      <c r="A1619" s="7">
        <v>1617</v>
      </c>
      <c r="B1619" s="18">
        <v>0.4267</v>
      </c>
      <c r="C1619" s="18">
        <v>0.8388</v>
      </c>
      <c r="D1619" s="16">
        <v>25643.63</v>
      </c>
      <c r="E1619" s="18">
        <v>0.9075</v>
      </c>
      <c r="F1619" s="18">
        <v>0.1549</v>
      </c>
      <c r="G1619" s="16">
        <v>1440708.16</v>
      </c>
      <c r="H1619" s="16">
        <v>1779495.24</v>
      </c>
      <c r="I1619" s="7" t="s">
        <v>125</v>
      </c>
    </row>
    <row r="1620" ht="15" customHeight="1">
      <c r="A1620" s="8">
        <v>1618</v>
      </c>
      <c r="B1620" s="19">
        <v>0.7276</v>
      </c>
      <c r="C1620" s="19">
        <v>0.8863</v>
      </c>
      <c r="D1620" s="17">
        <v>24490.02</v>
      </c>
      <c r="E1620" s="19">
        <v>0.8885</v>
      </c>
      <c r="F1620" s="19">
        <v>0.0512</v>
      </c>
      <c r="G1620" s="17">
        <v>2866562.04</v>
      </c>
      <c r="H1620" s="17">
        <v>3431859.33</v>
      </c>
      <c r="I1620" s="8" t="s">
        <v>125</v>
      </c>
    </row>
    <row r="1621" ht="15" customHeight="1">
      <c r="A1621" s="7">
        <v>1619</v>
      </c>
      <c r="B1621" s="18">
        <v>0.8182</v>
      </c>
      <c r="C1621" s="18">
        <v>0.9093</v>
      </c>
      <c r="D1621" s="16">
        <v>28496.79</v>
      </c>
      <c r="E1621" s="18">
        <v>0.84</v>
      </c>
      <c r="F1621" s="18">
        <v>0.1219</v>
      </c>
      <c r="G1621" s="16">
        <v>3529783.59</v>
      </c>
      <c r="H1621" s="16">
        <v>4240037.42</v>
      </c>
      <c r="I1621" s="7" t="s">
        <v>125</v>
      </c>
    </row>
    <row r="1622" ht="15" customHeight="1">
      <c r="A1622" s="8">
        <v>1620</v>
      </c>
      <c r="B1622" s="19">
        <v>0.7438</v>
      </c>
      <c r="C1622" s="19">
        <v>1.1211</v>
      </c>
      <c r="D1622" s="17">
        <v>30053.87</v>
      </c>
      <c r="E1622" s="19">
        <v>0.8985</v>
      </c>
      <c r="F1622" s="19">
        <v>0.1059</v>
      </c>
      <c r="G1622" s="17">
        <v>4308334.63</v>
      </c>
      <c r="H1622" s="17">
        <v>5152327.11</v>
      </c>
      <c r="I1622" s="8" t="s">
        <v>125</v>
      </c>
    </row>
    <row r="1623" ht="15" customHeight="1">
      <c r="A1623" s="7">
        <v>1621</v>
      </c>
      <c r="B1623" s="18">
        <v>0.605</v>
      </c>
      <c r="C1623" s="18">
        <v>0.689</v>
      </c>
      <c r="D1623" s="16">
        <v>24474.26</v>
      </c>
      <c r="E1623" s="18">
        <v>0.8879</v>
      </c>
      <c r="F1623" s="18">
        <v>0.0225</v>
      </c>
      <c r="G1623" s="16">
        <v>1363665.16</v>
      </c>
      <c r="H1623" s="16">
        <v>1660171.49</v>
      </c>
      <c r="I1623" s="7" t="s">
        <v>125</v>
      </c>
    </row>
    <row r="1624" ht="15" customHeight="1">
      <c r="A1624" s="8">
        <v>1622</v>
      </c>
      <c r="B1624" s="19">
        <v>0.5884</v>
      </c>
      <c r="C1624" s="19">
        <v>1.1513</v>
      </c>
      <c r="D1624" s="17">
        <v>26008.68</v>
      </c>
      <c r="E1624" s="19">
        <v>0.8895</v>
      </c>
      <c r="F1624" s="19">
        <v>0.1274</v>
      </c>
      <c r="G1624" s="17">
        <v>3468414.99</v>
      </c>
      <c r="H1624" s="17">
        <v>4168823.89</v>
      </c>
      <c r="I1624" s="8" t="s">
        <v>125</v>
      </c>
    </row>
    <row r="1625" ht="15" customHeight="1">
      <c r="A1625" s="7">
        <v>1623</v>
      </c>
      <c r="B1625" s="18">
        <v>0.6071</v>
      </c>
      <c r="C1625" s="18">
        <v>1.0584</v>
      </c>
      <c r="D1625" s="16">
        <v>26169.16</v>
      </c>
      <c r="E1625" s="18">
        <v>0.8487</v>
      </c>
      <c r="F1625" s="18">
        <v>0.0497</v>
      </c>
      <c r="G1625" s="16">
        <v>2615817.2</v>
      </c>
      <c r="H1625" s="16">
        <v>3137065.34</v>
      </c>
      <c r="I1625" s="7" t="s">
        <v>125</v>
      </c>
    </row>
    <row r="1626" ht="15" customHeight="1">
      <c r="A1626" s="8">
        <v>1624</v>
      </c>
      <c r="B1626" s="19">
        <v>0.6051</v>
      </c>
      <c r="C1626" s="19">
        <v>0.8861</v>
      </c>
      <c r="D1626" s="17">
        <v>27237.38</v>
      </c>
      <c r="E1626" s="19">
        <v>0.9309</v>
      </c>
      <c r="F1626" s="19">
        <v>0.1238</v>
      </c>
      <c r="G1626" s="17">
        <v>2619868.4</v>
      </c>
      <c r="H1626" s="17">
        <v>3165897.62</v>
      </c>
      <c r="I1626" s="8" t="s">
        <v>125</v>
      </c>
    </row>
    <row r="1627" ht="15" customHeight="1">
      <c r="A1627" s="7">
        <v>1625</v>
      </c>
      <c r="B1627" s="18">
        <v>0.6692</v>
      </c>
      <c r="C1627" s="18">
        <v>1.2046</v>
      </c>
      <c r="D1627" s="16">
        <v>23783.16</v>
      </c>
      <c r="E1627" s="18">
        <v>0.9255</v>
      </c>
      <c r="F1627" s="18">
        <v>0.0856</v>
      </c>
      <c r="G1627" s="16">
        <v>4330904.91</v>
      </c>
      <c r="H1627" s="16">
        <v>5167919.92</v>
      </c>
      <c r="I1627" s="7" t="s">
        <v>125</v>
      </c>
    </row>
    <row r="1628" ht="15" customHeight="1">
      <c r="A1628" s="8">
        <v>1626</v>
      </c>
      <c r="B1628" s="19">
        <v>0.7638</v>
      </c>
      <c r="C1628" s="19">
        <v>1.0448</v>
      </c>
      <c r="D1628" s="17">
        <v>32636.57</v>
      </c>
      <c r="E1628" s="19">
        <v>0.9432</v>
      </c>
      <c r="F1628" s="19">
        <v>0.1224</v>
      </c>
      <c r="G1628" s="17">
        <v>4377549.64</v>
      </c>
      <c r="H1628" s="17">
        <v>5242540.28</v>
      </c>
      <c r="I1628" s="8" t="s">
        <v>125</v>
      </c>
    </row>
    <row r="1629" ht="15" customHeight="1">
      <c r="A1629" s="7">
        <v>1627</v>
      </c>
      <c r="B1629" s="18">
        <v>0.7314</v>
      </c>
      <c r="C1629" s="18">
        <v>1.0995</v>
      </c>
      <c r="D1629" s="16">
        <v>30433.24</v>
      </c>
      <c r="E1629" s="18">
        <v>0.9274</v>
      </c>
      <c r="F1629" s="18">
        <v>0.085</v>
      </c>
      <c r="G1629" s="16">
        <v>4119781.21</v>
      </c>
      <c r="H1629" s="16">
        <v>4920552.39</v>
      </c>
      <c r="I1629" s="7" t="s">
        <v>125</v>
      </c>
    </row>
    <row r="1630" ht="15" customHeight="1">
      <c r="A1630" s="8">
        <v>1628</v>
      </c>
      <c r="B1630" s="19">
        <v>0.434</v>
      </c>
      <c r="C1630" s="19">
        <v>0.9297</v>
      </c>
      <c r="D1630" s="17">
        <v>34697.94</v>
      </c>
      <c r="E1630" s="19">
        <v>0.9253</v>
      </c>
      <c r="F1630" s="19">
        <v>0.0965</v>
      </c>
      <c r="G1630" s="17">
        <v>1330348.55</v>
      </c>
      <c r="H1630" s="17">
        <v>1639435.95</v>
      </c>
      <c r="I1630" s="8" t="s">
        <v>125</v>
      </c>
    </row>
    <row r="1631" ht="15" customHeight="1">
      <c r="A1631" s="7">
        <v>1629</v>
      </c>
      <c r="B1631" s="18">
        <v>0.8245</v>
      </c>
      <c r="C1631" s="18">
        <v>0.8243</v>
      </c>
      <c r="D1631" s="16">
        <v>19926.15</v>
      </c>
      <c r="E1631" s="18">
        <v>0.9449</v>
      </c>
      <c r="F1631" s="18">
        <v>0.1324</v>
      </c>
      <c r="G1631" s="16">
        <v>3991426.47</v>
      </c>
      <c r="H1631" s="16">
        <v>4786529.3</v>
      </c>
      <c r="I1631" s="7" t="s">
        <v>125</v>
      </c>
    </row>
    <row r="1632" ht="15" customHeight="1">
      <c r="A1632" s="8">
        <v>1630</v>
      </c>
      <c r="B1632" s="19">
        <v>0.6685</v>
      </c>
      <c r="C1632" s="19">
        <v>0.6959</v>
      </c>
      <c r="D1632" s="17">
        <v>31957.54</v>
      </c>
      <c r="E1632" s="19">
        <v>0.9269</v>
      </c>
      <c r="F1632" s="19">
        <v>0.1244</v>
      </c>
      <c r="G1632" s="17">
        <v>1958822.26</v>
      </c>
      <c r="H1632" s="17">
        <v>2387052.38</v>
      </c>
      <c r="I1632" s="8" t="s">
        <v>125</v>
      </c>
    </row>
    <row r="1633" ht="15" customHeight="1">
      <c r="A1633" s="7">
        <v>1631</v>
      </c>
      <c r="B1633" s="18">
        <v>0.6668</v>
      </c>
      <c r="C1633" s="18">
        <v>0.9617</v>
      </c>
      <c r="D1633" s="16">
        <v>26178.15</v>
      </c>
      <c r="E1633" s="18">
        <v>0.8451</v>
      </c>
      <c r="F1633" s="18">
        <v>0.0973</v>
      </c>
      <c r="G1633" s="16">
        <v>2838369.04</v>
      </c>
      <c r="H1633" s="16">
        <v>3414779.09</v>
      </c>
      <c r="I1633" s="7" t="s">
        <v>125</v>
      </c>
    </row>
    <row r="1634" ht="15" customHeight="1">
      <c r="A1634" s="8">
        <v>1632</v>
      </c>
      <c r="B1634" s="19">
        <v>0.3242</v>
      </c>
      <c r="C1634" s="19">
        <v>1.0116</v>
      </c>
      <c r="D1634" s="17">
        <v>25926.72</v>
      </c>
      <c r="E1634" s="19">
        <v>0.9355</v>
      </c>
      <c r="F1634" s="19">
        <v>0.0743</v>
      </c>
      <c r="G1634" s="17">
        <v>1044811.99</v>
      </c>
      <c r="H1634" s="17">
        <v>1296490.94</v>
      </c>
      <c r="I1634" s="8" t="s">
        <v>125</v>
      </c>
    </row>
    <row r="1635" ht="15" customHeight="1">
      <c r="A1635" s="7">
        <v>1633</v>
      </c>
      <c r="B1635" s="18">
        <v>0.3766</v>
      </c>
      <c r="C1635" s="18">
        <v>1.0646</v>
      </c>
      <c r="D1635" s="16">
        <v>29826.26</v>
      </c>
      <c r="E1635" s="18">
        <v>0.8878</v>
      </c>
      <c r="F1635" s="18">
        <v>0.1529</v>
      </c>
      <c r="G1635" s="16">
        <v>1552502.17</v>
      </c>
      <c r="H1635" s="16">
        <v>1913045.72</v>
      </c>
      <c r="I1635" s="7" t="s">
        <v>125</v>
      </c>
    </row>
    <row r="1636" ht="15" customHeight="1">
      <c r="A1636" s="8">
        <v>1634</v>
      </c>
      <c r="B1636" s="19">
        <v>0.669</v>
      </c>
      <c r="C1636" s="19">
        <v>1.2096</v>
      </c>
      <c r="D1636" s="17">
        <v>23819.55</v>
      </c>
      <c r="E1636" s="19">
        <v>0.8137</v>
      </c>
      <c r="F1636" s="19">
        <v>0.1266</v>
      </c>
      <c r="G1636" s="17">
        <v>3958692.03</v>
      </c>
      <c r="H1636" s="17">
        <v>4746833.41</v>
      </c>
      <c r="I1636" s="8" t="s">
        <v>125</v>
      </c>
    </row>
    <row r="1637" ht="15" customHeight="1">
      <c r="A1637" s="7">
        <v>1635</v>
      </c>
      <c r="B1637" s="18">
        <v>0.4129</v>
      </c>
      <c r="C1637" s="18">
        <v>0.9154</v>
      </c>
      <c r="D1637" s="16">
        <v>30611.22</v>
      </c>
      <c r="E1637" s="18">
        <v>0.8085</v>
      </c>
      <c r="F1637" s="18">
        <v>0.0759</v>
      </c>
      <c r="G1637" s="16">
        <v>896552.92</v>
      </c>
      <c r="H1637" s="16">
        <v>1123275.39</v>
      </c>
      <c r="I1637" s="7" t="s">
        <v>125</v>
      </c>
    </row>
    <row r="1638" ht="15" customHeight="1">
      <c r="A1638" s="8">
        <v>1636</v>
      </c>
      <c r="B1638" s="19">
        <v>0.5098</v>
      </c>
      <c r="C1638" s="19">
        <v>0.8129</v>
      </c>
      <c r="D1638" s="17">
        <v>29832.89</v>
      </c>
      <c r="E1638" s="19">
        <v>0.9208</v>
      </c>
      <c r="F1638" s="19">
        <v>0.0746</v>
      </c>
      <c r="G1638" s="17">
        <v>1460451.52</v>
      </c>
      <c r="H1638" s="17">
        <v>1786419.97</v>
      </c>
      <c r="I1638" s="8" t="s">
        <v>125</v>
      </c>
    </row>
    <row r="1639" ht="15" customHeight="1">
      <c r="A1639" s="7">
        <v>1637</v>
      </c>
      <c r="B1639" s="18">
        <v>0.6653</v>
      </c>
      <c r="C1639" s="18">
        <v>0.557</v>
      </c>
      <c r="D1639" s="16">
        <v>31255.57</v>
      </c>
      <c r="E1639" s="18">
        <v>0.9055</v>
      </c>
      <c r="F1639" s="18">
        <v>0.1192</v>
      </c>
      <c r="G1639" s="16">
        <v>1232806.23</v>
      </c>
      <c r="H1639" s="16">
        <v>1528381.64</v>
      </c>
      <c r="I1639" s="7" t="s">
        <v>125</v>
      </c>
    </row>
    <row r="1640" ht="15" customHeight="1">
      <c r="A1640" s="8">
        <v>1638</v>
      </c>
      <c r="B1640" s="19">
        <v>0.4101</v>
      </c>
      <c r="C1640" s="19">
        <v>0.5977</v>
      </c>
      <c r="D1640" s="17">
        <v>28305.38</v>
      </c>
      <c r="E1640" s="19">
        <v>0.8273</v>
      </c>
      <c r="F1640" s="19">
        <v>0.0953</v>
      </c>
      <c r="G1640" s="17">
        <v>269367.14</v>
      </c>
      <c r="H1640" s="17">
        <v>387181.34</v>
      </c>
      <c r="I1640" s="8" t="s">
        <v>125</v>
      </c>
    </row>
    <row r="1641" ht="15" customHeight="1">
      <c r="A1641" s="7">
        <v>1639</v>
      </c>
      <c r="B1641" s="18">
        <v>0.5144</v>
      </c>
      <c r="C1641" s="18">
        <v>1.0524</v>
      </c>
      <c r="D1641" s="16">
        <v>30697.49</v>
      </c>
      <c r="E1641" s="18">
        <v>0.8963</v>
      </c>
      <c r="F1641" s="18">
        <v>0.1436</v>
      </c>
      <c r="G1641" s="16">
        <v>2504059.24</v>
      </c>
      <c r="H1641" s="16">
        <v>3036427.45</v>
      </c>
      <c r="I1641" s="7" t="s">
        <v>125</v>
      </c>
    </row>
    <row r="1642" ht="15" customHeight="1">
      <c r="A1642" s="8">
        <v>1640</v>
      </c>
      <c r="B1642" s="19">
        <v>0.603</v>
      </c>
      <c r="C1642" s="19">
        <v>0.8907</v>
      </c>
      <c r="D1642" s="17">
        <v>33655.58</v>
      </c>
      <c r="E1642" s="19">
        <v>0.87</v>
      </c>
      <c r="F1642" s="19">
        <v>0.1226</v>
      </c>
      <c r="G1642" s="17">
        <v>2174011.84</v>
      </c>
      <c r="H1642" s="17">
        <v>2641189.97</v>
      </c>
      <c r="I1642" s="8" t="s">
        <v>125</v>
      </c>
    </row>
    <row r="1643" ht="15" customHeight="1">
      <c r="A1643" s="7">
        <v>1641</v>
      </c>
      <c r="B1643" s="18">
        <v>0.579</v>
      </c>
      <c r="C1643" s="18">
        <v>0.8993</v>
      </c>
      <c r="D1643" s="16">
        <v>28029.26</v>
      </c>
      <c r="E1643" s="18">
        <v>0.9418</v>
      </c>
      <c r="F1643" s="18">
        <v>0.0877</v>
      </c>
      <c r="G1643" s="16">
        <v>2355258.57</v>
      </c>
      <c r="H1643" s="16">
        <v>2842962.38</v>
      </c>
      <c r="I1643" s="7" t="s">
        <v>125</v>
      </c>
    </row>
    <row r="1644" ht="15" customHeight="1">
      <c r="A1644" s="8">
        <v>1642</v>
      </c>
      <c r="B1644" s="19">
        <v>0.5419</v>
      </c>
      <c r="C1644" s="19">
        <v>1.2604</v>
      </c>
      <c r="D1644" s="17">
        <v>43363.9</v>
      </c>
      <c r="E1644" s="19">
        <v>0.942</v>
      </c>
      <c r="F1644" s="19">
        <v>0.1306</v>
      </c>
      <c r="G1644" s="17">
        <v>3267460.06</v>
      </c>
      <c r="H1644" s="17">
        <v>3938662.44</v>
      </c>
      <c r="I1644" s="8" t="s">
        <v>125</v>
      </c>
    </row>
    <row r="1645" ht="15" customHeight="1">
      <c r="A1645" s="7">
        <v>1643</v>
      </c>
      <c r="B1645" s="18">
        <v>0.6203</v>
      </c>
      <c r="C1645" s="18">
        <v>0.8591</v>
      </c>
      <c r="D1645" s="16">
        <v>30389.76</v>
      </c>
      <c r="E1645" s="18">
        <v>0.9498</v>
      </c>
      <c r="F1645" s="18">
        <v>0.0669</v>
      </c>
      <c r="G1645" s="16">
        <v>2296393.63</v>
      </c>
      <c r="H1645" s="16">
        <v>2767812.73</v>
      </c>
      <c r="I1645" s="7" t="s">
        <v>125</v>
      </c>
    </row>
    <row r="1646" ht="15" customHeight="1">
      <c r="A1646" s="8">
        <v>1644</v>
      </c>
      <c r="B1646" s="19">
        <v>0.7223</v>
      </c>
      <c r="C1646" s="19">
        <v>0.8593</v>
      </c>
      <c r="D1646" s="17">
        <v>23798.48</v>
      </c>
      <c r="E1646" s="19">
        <v>0.8608</v>
      </c>
      <c r="F1646" s="19">
        <v>0.0878</v>
      </c>
      <c r="G1646" s="17">
        <v>2805235.21</v>
      </c>
      <c r="H1646" s="17">
        <v>3371986.77</v>
      </c>
      <c r="I1646" s="8" t="s">
        <v>125</v>
      </c>
    </row>
    <row r="1647" ht="15" customHeight="1">
      <c r="A1647" s="7">
        <v>1645</v>
      </c>
      <c r="B1647" s="18">
        <v>0.4037</v>
      </c>
      <c r="C1647" s="18">
        <v>1.2765</v>
      </c>
      <c r="D1647" s="16">
        <v>28224.89</v>
      </c>
      <c r="E1647" s="18">
        <v>0.9127</v>
      </c>
      <c r="F1647" s="18">
        <v>0.1543</v>
      </c>
      <c r="G1647" s="16">
        <v>2514568.34</v>
      </c>
      <c r="H1647" s="16">
        <v>3051107.75</v>
      </c>
      <c r="I1647" s="7" t="s">
        <v>125</v>
      </c>
    </row>
    <row r="1648" ht="15" customHeight="1">
      <c r="A1648" s="8">
        <v>1646</v>
      </c>
      <c r="B1648" s="19">
        <v>0.6196</v>
      </c>
      <c r="C1648" s="19">
        <v>0.9662</v>
      </c>
      <c r="D1648" s="17">
        <v>26540.17</v>
      </c>
      <c r="E1648" s="19">
        <v>0.8279</v>
      </c>
      <c r="F1648" s="19">
        <v>0.1502</v>
      </c>
      <c r="G1648" s="17">
        <v>2746529.51</v>
      </c>
      <c r="H1648" s="17">
        <v>3323615.59</v>
      </c>
      <c r="I1648" s="8" t="s">
        <v>125</v>
      </c>
    </row>
    <row r="1649" ht="15" customHeight="1">
      <c r="A1649" s="7">
        <v>1647</v>
      </c>
      <c r="B1649" s="18">
        <v>0.6079</v>
      </c>
      <c r="C1649" s="18">
        <v>0.9717</v>
      </c>
      <c r="D1649" s="16">
        <v>33970.29</v>
      </c>
      <c r="E1649" s="18">
        <v>0.9067</v>
      </c>
      <c r="F1649" s="18">
        <v>0.1384</v>
      </c>
      <c r="G1649" s="16">
        <v>2768914.63</v>
      </c>
      <c r="H1649" s="16">
        <v>3349090.14</v>
      </c>
      <c r="I1649" s="7" t="s">
        <v>125</v>
      </c>
    </row>
    <row r="1650" ht="15" customHeight="1">
      <c r="A1650" s="8">
        <v>1648</v>
      </c>
      <c r="B1650" s="19">
        <v>0.63</v>
      </c>
      <c r="C1650" s="19">
        <v>1.2487</v>
      </c>
      <c r="D1650" s="17">
        <v>35682.54</v>
      </c>
      <c r="E1650" s="19">
        <v>0.9462</v>
      </c>
      <c r="F1650" s="19">
        <v>0.0726</v>
      </c>
      <c r="G1650" s="17">
        <v>3859562.92</v>
      </c>
      <c r="H1650" s="17">
        <v>4609723.47</v>
      </c>
      <c r="I1650" s="8" t="s">
        <v>125</v>
      </c>
    </row>
    <row r="1651" ht="15" customHeight="1">
      <c r="A1651" s="7">
        <v>1649</v>
      </c>
      <c r="B1651" s="18">
        <v>0.5022</v>
      </c>
      <c r="C1651" s="18">
        <v>1.0235</v>
      </c>
      <c r="D1651" s="16">
        <v>25132.57</v>
      </c>
      <c r="E1651" s="18">
        <v>0.8683</v>
      </c>
      <c r="F1651" s="18">
        <v>0.0548</v>
      </c>
      <c r="G1651" s="16">
        <v>1983927.55</v>
      </c>
      <c r="H1651" s="16">
        <v>2396123.69</v>
      </c>
      <c r="I1651" s="7" t="s">
        <v>125</v>
      </c>
    </row>
    <row r="1652" ht="15" customHeight="1">
      <c r="A1652" s="8">
        <v>1650</v>
      </c>
      <c r="B1652" s="19">
        <v>0.5577</v>
      </c>
      <c r="C1652" s="19">
        <v>0.9385</v>
      </c>
      <c r="D1652" s="17">
        <v>27213.35</v>
      </c>
      <c r="E1652" s="19">
        <v>0.8775</v>
      </c>
      <c r="F1652" s="19">
        <v>0.0389</v>
      </c>
      <c r="G1652" s="17">
        <v>1942187.44</v>
      </c>
      <c r="H1652" s="17">
        <v>2343011.29</v>
      </c>
      <c r="I1652" s="8" t="s">
        <v>125</v>
      </c>
    </row>
    <row r="1653" ht="15" customHeight="1">
      <c r="A1653" s="7">
        <v>1651</v>
      </c>
      <c r="B1653" s="18">
        <v>0.4797</v>
      </c>
      <c r="C1653" s="18">
        <v>0.7317</v>
      </c>
      <c r="D1653" s="16">
        <v>32529.4</v>
      </c>
      <c r="E1653" s="18">
        <v>0.9424</v>
      </c>
      <c r="F1653" s="18">
        <v>0.1131</v>
      </c>
      <c r="G1653" s="16">
        <v>1137711.29</v>
      </c>
      <c r="H1653" s="16">
        <v>1415284.5</v>
      </c>
      <c r="I1653" s="7" t="s">
        <v>125</v>
      </c>
    </row>
    <row r="1654" ht="15" customHeight="1">
      <c r="A1654" s="8">
        <v>1652</v>
      </c>
      <c r="B1654" s="19">
        <v>0.5365</v>
      </c>
      <c r="C1654" s="19">
        <v>0.6018</v>
      </c>
      <c r="D1654" s="17">
        <v>38439.62</v>
      </c>
      <c r="E1654" s="19">
        <v>0.8754</v>
      </c>
      <c r="F1654" s="19">
        <v>0.0347</v>
      </c>
      <c r="G1654" s="17">
        <v>382279.42</v>
      </c>
      <c r="H1654" s="17">
        <v>512814.21</v>
      </c>
      <c r="I1654" s="8" t="s">
        <v>125</v>
      </c>
    </row>
    <row r="1655" ht="15" customHeight="1">
      <c r="A1655" s="7">
        <v>1653</v>
      </c>
      <c r="B1655" s="18">
        <v>0.7063</v>
      </c>
      <c r="C1655" s="18">
        <v>0.8163</v>
      </c>
      <c r="D1655" s="16">
        <v>28209.65</v>
      </c>
      <c r="E1655" s="18">
        <v>0.9192</v>
      </c>
      <c r="F1655" s="18">
        <v>0.1244</v>
      </c>
      <c r="G1655" s="16">
        <v>2828483.17</v>
      </c>
      <c r="H1655" s="16">
        <v>3412744.01</v>
      </c>
      <c r="I1655" s="7" t="s">
        <v>125</v>
      </c>
    </row>
    <row r="1656" ht="15" customHeight="1">
      <c r="A1656" s="8">
        <v>1654</v>
      </c>
      <c r="B1656" s="19">
        <v>0.6944</v>
      </c>
      <c r="C1656" s="19">
        <v>0.9938</v>
      </c>
      <c r="D1656" s="17">
        <v>28860.46</v>
      </c>
      <c r="E1656" s="19">
        <v>0.9152</v>
      </c>
      <c r="F1656" s="19">
        <v>0.0908</v>
      </c>
      <c r="G1656" s="17">
        <v>3375865.58</v>
      </c>
      <c r="H1656" s="17">
        <v>4046449.31</v>
      </c>
      <c r="I1656" s="8" t="s">
        <v>125</v>
      </c>
    </row>
    <row r="1657" ht="15" customHeight="1">
      <c r="A1657" s="7">
        <v>1655</v>
      </c>
      <c r="B1657" s="18">
        <v>0.659</v>
      </c>
      <c r="C1657" s="18">
        <v>0.8749</v>
      </c>
      <c r="D1657" s="16">
        <v>34233.36</v>
      </c>
      <c r="E1657" s="18">
        <v>0.9302</v>
      </c>
      <c r="F1657" s="18">
        <v>0.0345</v>
      </c>
      <c r="G1657" s="16">
        <v>2229304.67</v>
      </c>
      <c r="H1657" s="16">
        <v>2679301.64</v>
      </c>
      <c r="I1657" s="7" t="s">
        <v>125</v>
      </c>
    </row>
    <row r="1658" ht="15" customHeight="1">
      <c r="A1658" s="8">
        <v>1656</v>
      </c>
      <c r="B1658" s="19">
        <v>0.5893</v>
      </c>
      <c r="C1658" s="19">
        <v>1.0428</v>
      </c>
      <c r="D1658" s="17">
        <v>25450.64</v>
      </c>
      <c r="E1658" s="19">
        <v>0.8244</v>
      </c>
      <c r="F1658" s="19">
        <v>0.1077</v>
      </c>
      <c r="G1658" s="17">
        <v>2651319.24</v>
      </c>
      <c r="H1658" s="17">
        <v>3197405.62</v>
      </c>
      <c r="I1658" s="8" t="s">
        <v>125</v>
      </c>
    </row>
    <row r="1659" ht="15" customHeight="1">
      <c r="A1659" s="7">
        <v>1657</v>
      </c>
      <c r="B1659" s="18">
        <v>0.6101</v>
      </c>
      <c r="C1659" s="18">
        <v>0.6696</v>
      </c>
      <c r="D1659" s="16">
        <v>21349.18</v>
      </c>
      <c r="E1659" s="18">
        <v>0.8741</v>
      </c>
      <c r="F1659" s="18">
        <v>0.0418</v>
      </c>
      <c r="G1659" s="16">
        <v>1435712.12</v>
      </c>
      <c r="H1659" s="16">
        <v>1748606.28</v>
      </c>
      <c r="I1659" s="7" t="s">
        <v>125</v>
      </c>
    </row>
    <row r="1660" ht="15" customHeight="1">
      <c r="A1660" s="8">
        <v>1658</v>
      </c>
      <c r="B1660" s="19">
        <v>0.6124</v>
      </c>
      <c r="C1660" s="19">
        <v>1.4457</v>
      </c>
      <c r="D1660" s="17">
        <v>26405.5</v>
      </c>
      <c r="E1660" s="19">
        <v>0.9034</v>
      </c>
      <c r="F1660" s="19">
        <v>0.1198</v>
      </c>
      <c r="G1660" s="17">
        <v>4907658.59</v>
      </c>
      <c r="H1660" s="17">
        <v>5865112.84</v>
      </c>
      <c r="I1660" s="8" t="s">
        <v>125</v>
      </c>
    </row>
    <row r="1661" ht="15" customHeight="1">
      <c r="A1661" s="7">
        <v>1659</v>
      </c>
      <c r="B1661" s="18">
        <v>0.5259</v>
      </c>
      <c r="C1661" s="18">
        <v>0.8747</v>
      </c>
      <c r="D1661" s="16">
        <v>31988.2</v>
      </c>
      <c r="E1661" s="18">
        <v>0.7923</v>
      </c>
      <c r="F1661" s="18">
        <v>0.1258</v>
      </c>
      <c r="G1661" s="16">
        <v>1453507.98</v>
      </c>
      <c r="H1661" s="16">
        <v>1790663.52</v>
      </c>
      <c r="I1661" s="7" t="s">
        <v>125</v>
      </c>
    </row>
    <row r="1662" ht="15" customHeight="1">
      <c r="A1662" s="8">
        <v>1660</v>
      </c>
      <c r="B1662" s="19">
        <v>0.8021</v>
      </c>
      <c r="C1662" s="19">
        <v>1.1107</v>
      </c>
      <c r="D1662" s="17">
        <v>30822.51</v>
      </c>
      <c r="E1662" s="19">
        <v>0.9139</v>
      </c>
      <c r="F1662" s="19">
        <v>0.1136</v>
      </c>
      <c r="G1662" s="17">
        <v>4830618.76</v>
      </c>
      <c r="H1662" s="17">
        <v>5772429.27</v>
      </c>
      <c r="I1662" s="8" t="s">
        <v>125</v>
      </c>
    </row>
    <row r="1663" ht="15" customHeight="1">
      <c r="A1663" s="7">
        <v>1661</v>
      </c>
      <c r="B1663" s="18">
        <v>0.7582</v>
      </c>
      <c r="C1663" s="18">
        <v>0.8886</v>
      </c>
      <c r="D1663" s="16">
        <v>30347.79</v>
      </c>
      <c r="E1663" s="18">
        <v>0.8057</v>
      </c>
      <c r="F1663" s="18">
        <v>0.0552</v>
      </c>
      <c r="G1663" s="16">
        <v>2497424.52</v>
      </c>
      <c r="H1663" s="16">
        <v>3000371.37</v>
      </c>
      <c r="I1663" s="7" t="s">
        <v>125</v>
      </c>
    </row>
    <row r="1664" ht="15" customHeight="1">
      <c r="A1664" s="8">
        <v>1662</v>
      </c>
      <c r="B1664" s="19">
        <v>0.6377</v>
      </c>
      <c r="C1664" s="19">
        <v>0.9556</v>
      </c>
      <c r="D1664" s="17">
        <v>26927.48</v>
      </c>
      <c r="E1664" s="19">
        <v>0.9306</v>
      </c>
      <c r="F1664" s="19">
        <v>0.12</v>
      </c>
      <c r="G1664" s="17">
        <v>3126858.13</v>
      </c>
      <c r="H1664" s="17">
        <v>3763117.95</v>
      </c>
      <c r="I1664" s="8" t="s">
        <v>125</v>
      </c>
    </row>
    <row r="1665" ht="15" customHeight="1">
      <c r="A1665" s="7">
        <v>1663</v>
      </c>
      <c r="B1665" s="18">
        <v>0.4582</v>
      </c>
      <c r="C1665" s="18">
        <v>1.1174</v>
      </c>
      <c r="D1665" s="16">
        <v>27023.72</v>
      </c>
      <c r="E1665" s="18">
        <v>0.858</v>
      </c>
      <c r="F1665" s="18">
        <v>0.1563</v>
      </c>
      <c r="G1665" s="16">
        <v>2314248.44</v>
      </c>
      <c r="H1665" s="16">
        <v>2814131.95</v>
      </c>
      <c r="I1665" s="7" t="s">
        <v>125</v>
      </c>
    </row>
    <row r="1666" ht="15" customHeight="1">
      <c r="A1666" s="8">
        <v>1664</v>
      </c>
      <c r="B1666" s="19">
        <v>0.7105</v>
      </c>
      <c r="C1666" s="19">
        <v>1.1234</v>
      </c>
      <c r="D1666" s="17">
        <v>25978.75</v>
      </c>
      <c r="E1666" s="19">
        <v>0.9182</v>
      </c>
      <c r="F1666" s="19">
        <v>0.1394</v>
      </c>
      <c r="G1666" s="17">
        <v>4556748.35</v>
      </c>
      <c r="H1666" s="17">
        <v>5459876.8</v>
      </c>
      <c r="I1666" s="8" t="s">
        <v>125</v>
      </c>
    </row>
    <row r="1667" ht="15" customHeight="1">
      <c r="A1667" s="7">
        <v>1665</v>
      </c>
      <c r="B1667" s="18">
        <v>0.7418</v>
      </c>
      <c r="C1667" s="18">
        <v>1.3191</v>
      </c>
      <c r="D1667" s="16">
        <v>27723.16</v>
      </c>
      <c r="E1667" s="18">
        <v>0.7938</v>
      </c>
      <c r="F1667" s="18">
        <v>0.0807</v>
      </c>
      <c r="G1667" s="16">
        <v>4396188.26</v>
      </c>
      <c r="H1667" s="16">
        <v>5243409.81</v>
      </c>
      <c r="I1667" s="7" t="s">
        <v>125</v>
      </c>
    </row>
    <row r="1668" ht="15" customHeight="1">
      <c r="A1668" s="8">
        <v>1666</v>
      </c>
      <c r="B1668" s="19">
        <v>0.6435</v>
      </c>
      <c r="C1668" s="19">
        <v>1.0387</v>
      </c>
      <c r="D1668" s="17">
        <v>21566.07</v>
      </c>
      <c r="E1668" s="19">
        <v>0.8886</v>
      </c>
      <c r="F1668" s="19">
        <v>0.0321</v>
      </c>
      <c r="G1668" s="17">
        <v>2996369.75</v>
      </c>
      <c r="H1668" s="17">
        <v>3577172.36</v>
      </c>
      <c r="I1668" s="8" t="s">
        <v>125</v>
      </c>
    </row>
    <row r="1669" ht="15" customHeight="1">
      <c r="A1669" s="7">
        <v>1667</v>
      </c>
      <c r="B1669" s="18">
        <v>0.5362</v>
      </c>
      <c r="C1669" s="18">
        <v>1.0546</v>
      </c>
      <c r="D1669" s="16">
        <v>24225.74</v>
      </c>
      <c r="E1669" s="18">
        <v>0.8163</v>
      </c>
      <c r="F1669" s="18">
        <v>0.1514</v>
      </c>
      <c r="G1669" s="16">
        <v>2554678.43</v>
      </c>
      <c r="H1669" s="16">
        <v>3096094.44</v>
      </c>
      <c r="I1669" s="7" t="s">
        <v>125</v>
      </c>
    </row>
    <row r="1670" ht="15" customHeight="1">
      <c r="A1670" s="8">
        <v>1668</v>
      </c>
      <c r="B1670" s="19">
        <v>0.803</v>
      </c>
      <c r="C1670" s="19">
        <v>0.8259</v>
      </c>
      <c r="D1670" s="17">
        <v>31479.49</v>
      </c>
      <c r="E1670" s="19">
        <v>0.9246</v>
      </c>
      <c r="F1670" s="19">
        <v>0.1253</v>
      </c>
      <c r="G1670" s="17">
        <v>3368885.13</v>
      </c>
      <c r="H1670" s="17">
        <v>4052353.6</v>
      </c>
      <c r="I1670" s="8" t="s">
        <v>125</v>
      </c>
    </row>
    <row r="1671" ht="15" customHeight="1">
      <c r="A1671" s="7">
        <v>1669</v>
      </c>
      <c r="B1671" s="18">
        <v>0.6645</v>
      </c>
      <c r="C1671" s="18">
        <v>1.1931</v>
      </c>
      <c r="D1671" s="16">
        <v>29974.57</v>
      </c>
      <c r="E1671" s="18">
        <v>0.8418</v>
      </c>
      <c r="F1671" s="18">
        <v>0.1442</v>
      </c>
      <c r="G1671" s="16">
        <v>3956064.76</v>
      </c>
      <c r="H1671" s="16">
        <v>4753295.85</v>
      </c>
      <c r="I1671" s="7" t="s">
        <v>125</v>
      </c>
    </row>
    <row r="1672" ht="15" customHeight="1">
      <c r="A1672" s="8">
        <v>1670</v>
      </c>
      <c r="B1672" s="19">
        <v>0.6782</v>
      </c>
      <c r="C1672" s="19">
        <v>1.0677</v>
      </c>
      <c r="D1672" s="17">
        <v>26909.45</v>
      </c>
      <c r="E1672" s="19">
        <v>0.9211</v>
      </c>
      <c r="F1672" s="19">
        <v>0.0382</v>
      </c>
      <c r="G1672" s="17">
        <v>3362571.23</v>
      </c>
      <c r="H1672" s="17">
        <v>4009650.96</v>
      </c>
      <c r="I1672" s="8" t="s">
        <v>125</v>
      </c>
    </row>
    <row r="1673" ht="15" customHeight="1">
      <c r="A1673" s="7">
        <v>1671</v>
      </c>
      <c r="B1673" s="18">
        <v>0.8347</v>
      </c>
      <c r="C1673" s="18">
        <v>0.7055</v>
      </c>
      <c r="D1673" s="16">
        <v>27574.95</v>
      </c>
      <c r="E1673" s="18">
        <v>0.9364</v>
      </c>
      <c r="F1673" s="18">
        <v>0.1538</v>
      </c>
      <c r="G1673" s="16">
        <v>3175839.28</v>
      </c>
      <c r="H1673" s="16">
        <v>3833165.65</v>
      </c>
      <c r="I1673" s="7" t="s">
        <v>125</v>
      </c>
    </row>
    <row r="1674" ht="15" customHeight="1">
      <c r="A1674" s="8">
        <v>1672</v>
      </c>
      <c r="B1674" s="19">
        <v>0.6185</v>
      </c>
      <c r="C1674" s="19">
        <v>0.9427</v>
      </c>
      <c r="D1674" s="17">
        <v>18905.13</v>
      </c>
      <c r="E1674" s="19">
        <v>0.9114</v>
      </c>
      <c r="F1674" s="19">
        <v>0.0677</v>
      </c>
      <c r="G1674" s="17">
        <v>2833118.73</v>
      </c>
      <c r="H1674" s="17">
        <v>3397193.13</v>
      </c>
      <c r="I1674" s="8" t="s">
        <v>125</v>
      </c>
    </row>
    <row r="1675" ht="15" customHeight="1">
      <c r="A1675" s="7">
        <v>1673</v>
      </c>
      <c r="B1675" s="18">
        <v>0.6079</v>
      </c>
      <c r="C1675" s="18">
        <v>1.0577</v>
      </c>
      <c r="D1675" s="16">
        <v>27642.64</v>
      </c>
      <c r="E1675" s="18">
        <v>0.9007</v>
      </c>
      <c r="F1675" s="18">
        <v>0.1069</v>
      </c>
      <c r="G1675" s="16">
        <v>3120893.01</v>
      </c>
      <c r="H1675" s="16">
        <v>3751625.88</v>
      </c>
      <c r="I1675" s="7" t="s">
        <v>125</v>
      </c>
    </row>
    <row r="1676" ht="15" customHeight="1">
      <c r="A1676" s="8">
        <v>1674</v>
      </c>
      <c r="B1676" s="19">
        <v>0.5366</v>
      </c>
      <c r="C1676" s="19">
        <v>1.0503</v>
      </c>
      <c r="D1676" s="17">
        <v>24493.38</v>
      </c>
      <c r="E1676" s="19">
        <v>0.8973</v>
      </c>
      <c r="F1676" s="19">
        <v>0.0578</v>
      </c>
      <c r="G1676" s="17">
        <v>2431839.82</v>
      </c>
      <c r="H1676" s="17">
        <v>2923245.78</v>
      </c>
      <c r="I1676" s="8" t="s">
        <v>125</v>
      </c>
    </row>
    <row r="1677" ht="15" customHeight="1">
      <c r="A1677" s="7">
        <v>1675</v>
      </c>
      <c r="B1677" s="18">
        <v>0.7633</v>
      </c>
      <c r="C1677" s="18">
        <v>1.064</v>
      </c>
      <c r="D1677" s="16">
        <v>30911.65</v>
      </c>
      <c r="E1677" s="18">
        <v>0.9442</v>
      </c>
      <c r="F1677" s="18">
        <v>0.1511</v>
      </c>
      <c r="G1677" s="16">
        <v>4760208.97</v>
      </c>
      <c r="H1677" s="16">
        <v>5707895.38</v>
      </c>
      <c r="I1677" s="7" t="s">
        <v>125</v>
      </c>
    </row>
    <row r="1678" ht="15" customHeight="1">
      <c r="A1678" s="8">
        <v>1676</v>
      </c>
      <c r="B1678" s="19">
        <v>0.5967</v>
      </c>
      <c r="C1678" s="19">
        <v>1.0095</v>
      </c>
      <c r="D1678" s="17">
        <v>31202.1</v>
      </c>
      <c r="E1678" s="19">
        <v>0.9169</v>
      </c>
      <c r="F1678" s="19">
        <v>0.0545</v>
      </c>
      <c r="G1678" s="17">
        <v>2533878.94</v>
      </c>
      <c r="H1678" s="17">
        <v>3043122.57</v>
      </c>
      <c r="I1678" s="8" t="s">
        <v>125</v>
      </c>
    </row>
    <row r="1679" ht="15" customHeight="1">
      <c r="A1679" s="7">
        <v>1677</v>
      </c>
      <c r="B1679" s="18">
        <v>0.5796</v>
      </c>
      <c r="C1679" s="18">
        <v>0.8675</v>
      </c>
      <c r="D1679" s="16">
        <v>27109.18</v>
      </c>
      <c r="E1679" s="18">
        <v>0.8066</v>
      </c>
      <c r="F1679" s="18">
        <v>0.1068</v>
      </c>
      <c r="G1679" s="16">
        <v>1842034.8</v>
      </c>
      <c r="H1679" s="16">
        <v>2243118.45</v>
      </c>
      <c r="I1679" s="7" t="s">
        <v>125</v>
      </c>
    </row>
    <row r="1680" ht="15" customHeight="1">
      <c r="A1680" s="8">
        <v>1678</v>
      </c>
      <c r="B1680" s="19">
        <v>0.64</v>
      </c>
      <c r="C1680" s="19">
        <v>0.7872</v>
      </c>
      <c r="D1680" s="17">
        <v>32209.54</v>
      </c>
      <c r="E1680" s="19">
        <v>0.8768</v>
      </c>
      <c r="F1680" s="19">
        <v>0.1276</v>
      </c>
      <c r="G1680" s="17">
        <v>2045505.41</v>
      </c>
      <c r="H1680" s="17">
        <v>2490365.97</v>
      </c>
      <c r="I1680" s="8" t="s">
        <v>125</v>
      </c>
    </row>
    <row r="1681" ht="15" customHeight="1">
      <c r="A1681" s="7">
        <v>1679</v>
      </c>
      <c r="B1681" s="18">
        <v>0.457</v>
      </c>
      <c r="C1681" s="18">
        <v>0.9762</v>
      </c>
      <c r="D1681" s="16">
        <v>25502.94</v>
      </c>
      <c r="E1681" s="18">
        <v>0.7917</v>
      </c>
      <c r="F1681" s="18">
        <v>0.1408</v>
      </c>
      <c r="G1681" s="16">
        <v>1620096.87</v>
      </c>
      <c r="H1681" s="16">
        <v>1988583.28</v>
      </c>
      <c r="I1681" s="7" t="s">
        <v>125</v>
      </c>
    </row>
    <row r="1682" ht="15" customHeight="1">
      <c r="A1682" s="8">
        <v>1680</v>
      </c>
      <c r="B1682" s="19">
        <v>0.4864</v>
      </c>
      <c r="C1682" s="19">
        <v>1.1146</v>
      </c>
      <c r="D1682" s="17">
        <v>28911.25</v>
      </c>
      <c r="E1682" s="19">
        <v>0.8974</v>
      </c>
      <c r="F1682" s="19">
        <v>0.1034</v>
      </c>
      <c r="G1682" s="17">
        <v>2374389.16</v>
      </c>
      <c r="H1682" s="17">
        <v>2870482.17</v>
      </c>
      <c r="I1682" s="8" t="s">
        <v>125</v>
      </c>
    </row>
    <row r="1683" ht="15" customHeight="1">
      <c r="A1683" s="7">
        <v>1681</v>
      </c>
      <c r="B1683" s="18">
        <v>0.5135</v>
      </c>
      <c r="C1683" s="18">
        <v>1.0979</v>
      </c>
      <c r="D1683" s="16">
        <v>32314.18</v>
      </c>
      <c r="E1683" s="18">
        <v>0.9106</v>
      </c>
      <c r="F1683" s="18">
        <v>0.1132</v>
      </c>
      <c r="G1683" s="16">
        <v>2517933.94</v>
      </c>
      <c r="H1683" s="16">
        <v>3043823.5</v>
      </c>
      <c r="I1683" s="7" t="s">
        <v>125</v>
      </c>
    </row>
    <row r="1684" ht="15" customHeight="1">
      <c r="A1684" s="8">
        <v>1682</v>
      </c>
      <c r="B1684" s="19">
        <v>0.637</v>
      </c>
      <c r="C1684" s="19">
        <v>0.9667</v>
      </c>
      <c r="D1684" s="17">
        <v>37370.04</v>
      </c>
      <c r="E1684" s="19">
        <v>0.9334</v>
      </c>
      <c r="F1684" s="19">
        <v>0.1427</v>
      </c>
      <c r="G1684" s="17">
        <v>2994183.34</v>
      </c>
      <c r="H1684" s="17">
        <v>3618168.6</v>
      </c>
      <c r="I1684" s="8" t="s">
        <v>125</v>
      </c>
    </row>
    <row r="1685" ht="15" customHeight="1">
      <c r="A1685" s="7">
        <v>1683</v>
      </c>
      <c r="B1685" s="18">
        <v>0.553</v>
      </c>
      <c r="C1685" s="18">
        <v>1.1851</v>
      </c>
      <c r="D1685" s="16">
        <v>24479.36</v>
      </c>
      <c r="E1685" s="18">
        <v>0.9414</v>
      </c>
      <c r="F1685" s="18">
        <v>0.0616</v>
      </c>
      <c r="G1685" s="16">
        <v>3231409.27</v>
      </c>
      <c r="H1685" s="16">
        <v>3864337.99</v>
      </c>
      <c r="I1685" s="7" t="s">
        <v>125</v>
      </c>
    </row>
    <row r="1686" ht="15" customHeight="1">
      <c r="A1686" s="8">
        <v>1684</v>
      </c>
      <c r="B1686" s="19">
        <v>0.514</v>
      </c>
      <c r="C1686" s="19">
        <v>0.9688</v>
      </c>
      <c r="D1686" s="17">
        <v>16600.3</v>
      </c>
      <c r="E1686" s="19">
        <v>0.8412</v>
      </c>
      <c r="F1686" s="19">
        <v>0.1095</v>
      </c>
      <c r="G1686" s="17">
        <v>2275444.21</v>
      </c>
      <c r="H1686" s="17">
        <v>2751968.08</v>
      </c>
      <c r="I1686" s="8" t="s">
        <v>125</v>
      </c>
    </row>
    <row r="1687" ht="15" customHeight="1">
      <c r="A1687" s="7">
        <v>1685</v>
      </c>
      <c r="B1687" s="18">
        <v>0.596</v>
      </c>
      <c r="C1687" s="18">
        <v>1.0353</v>
      </c>
      <c r="D1687" s="16">
        <v>28210.88</v>
      </c>
      <c r="E1687" s="18">
        <v>0.885</v>
      </c>
      <c r="F1687" s="18">
        <v>0.1031</v>
      </c>
      <c r="G1687" s="16">
        <v>2836116.99</v>
      </c>
      <c r="H1687" s="16">
        <v>3414600.45</v>
      </c>
      <c r="I1687" s="7" t="s">
        <v>125</v>
      </c>
    </row>
    <row r="1688" ht="15" customHeight="1">
      <c r="A1688" s="8">
        <v>1686</v>
      </c>
      <c r="B1688" s="19">
        <v>0.6724</v>
      </c>
      <c r="C1688" s="19">
        <v>0.9019</v>
      </c>
      <c r="D1688" s="17">
        <v>29456.55</v>
      </c>
      <c r="E1688" s="19">
        <v>0.8654</v>
      </c>
      <c r="F1688" s="19">
        <v>0.0876</v>
      </c>
      <c r="G1688" s="17">
        <v>2561115.35</v>
      </c>
      <c r="H1688" s="17">
        <v>3085724.27</v>
      </c>
      <c r="I1688" s="8" t="s">
        <v>125</v>
      </c>
    </row>
    <row r="1689" ht="15" customHeight="1">
      <c r="A1689" s="7">
        <v>1687</v>
      </c>
      <c r="B1689" s="18">
        <v>0.5969</v>
      </c>
      <c r="C1689" s="18">
        <v>0.9454</v>
      </c>
      <c r="D1689" s="16">
        <v>37113.63</v>
      </c>
      <c r="E1689" s="18">
        <v>0.9609</v>
      </c>
      <c r="F1689" s="18">
        <v>0.0867</v>
      </c>
      <c r="G1689" s="16">
        <v>2447339.92</v>
      </c>
      <c r="H1689" s="16">
        <v>2953228.07</v>
      </c>
      <c r="I1689" s="7" t="s">
        <v>125</v>
      </c>
    </row>
    <row r="1690" ht="15" customHeight="1">
      <c r="A1690" s="8">
        <v>1688</v>
      </c>
      <c r="B1690" s="19">
        <v>0.6311</v>
      </c>
      <c r="C1690" s="19">
        <v>0.9198</v>
      </c>
      <c r="D1690" s="17">
        <v>36285.98</v>
      </c>
      <c r="E1690" s="19">
        <v>0.9068</v>
      </c>
      <c r="F1690" s="19">
        <v>0.0966</v>
      </c>
      <c r="G1690" s="17">
        <v>2408343.78</v>
      </c>
      <c r="H1690" s="17">
        <v>2910346.2</v>
      </c>
      <c r="I1690" s="8" t="s">
        <v>125</v>
      </c>
    </row>
    <row r="1691" ht="15" customHeight="1">
      <c r="A1691" s="7">
        <v>1689</v>
      </c>
      <c r="B1691" s="18">
        <v>0.5952</v>
      </c>
      <c r="C1691" s="18">
        <v>0.988</v>
      </c>
      <c r="D1691" s="16">
        <v>28524.9</v>
      </c>
      <c r="E1691" s="18">
        <v>0.9328</v>
      </c>
      <c r="F1691" s="18">
        <v>0.0314</v>
      </c>
      <c r="G1691" s="16">
        <v>2472093.91</v>
      </c>
      <c r="H1691" s="16">
        <v>2962573.44</v>
      </c>
      <c r="I1691" s="7" t="s">
        <v>125</v>
      </c>
    </row>
    <row r="1692" ht="15" customHeight="1">
      <c r="A1692" s="8">
        <v>1690</v>
      </c>
      <c r="B1692" s="19">
        <v>0.7038</v>
      </c>
      <c r="C1692" s="19">
        <v>1.2091</v>
      </c>
      <c r="D1692" s="17">
        <v>28957.84</v>
      </c>
      <c r="E1692" s="19">
        <v>0.9426</v>
      </c>
      <c r="F1692" s="19">
        <v>0.1504</v>
      </c>
      <c r="G1692" s="17">
        <v>5093216.26</v>
      </c>
      <c r="H1692" s="17">
        <v>6100716.38</v>
      </c>
      <c r="I1692" s="8" t="s">
        <v>125</v>
      </c>
    </row>
    <row r="1693" ht="15" customHeight="1">
      <c r="A1693" s="7">
        <v>1691</v>
      </c>
      <c r="B1693" s="18">
        <v>0.6304</v>
      </c>
      <c r="C1693" s="18">
        <v>1.0569</v>
      </c>
      <c r="D1693" s="16">
        <v>24670.43</v>
      </c>
      <c r="E1693" s="18">
        <v>0.8292</v>
      </c>
      <c r="F1693" s="18">
        <v>0.0793</v>
      </c>
      <c r="G1693" s="16">
        <v>2865996.13</v>
      </c>
      <c r="H1693" s="16">
        <v>3440880.45</v>
      </c>
      <c r="I1693" s="7" t="s">
        <v>125</v>
      </c>
    </row>
    <row r="1694" ht="15" customHeight="1">
      <c r="A1694" s="8">
        <v>1692</v>
      </c>
      <c r="B1694" s="19">
        <v>0.5842</v>
      </c>
      <c r="C1694" s="19">
        <v>1.056</v>
      </c>
      <c r="D1694" s="17">
        <v>21215.63</v>
      </c>
      <c r="E1694" s="19">
        <v>0.8731</v>
      </c>
      <c r="F1694" s="19">
        <v>0.1267</v>
      </c>
      <c r="G1694" s="17">
        <v>3122093.23</v>
      </c>
      <c r="H1694" s="17">
        <v>3757922.18</v>
      </c>
      <c r="I1694" s="8" t="s">
        <v>125</v>
      </c>
    </row>
    <row r="1695" ht="15" customHeight="1">
      <c r="A1695" s="7">
        <v>1693</v>
      </c>
      <c r="B1695" s="18">
        <v>0.5142</v>
      </c>
      <c r="C1695" s="18">
        <v>1.0732</v>
      </c>
      <c r="D1695" s="16">
        <v>27819.98</v>
      </c>
      <c r="E1695" s="18">
        <v>0.8723</v>
      </c>
      <c r="F1695" s="18">
        <v>0.1098</v>
      </c>
      <c r="G1695" s="16">
        <v>2399716.3</v>
      </c>
      <c r="H1695" s="16">
        <v>2901967.23</v>
      </c>
      <c r="I1695" s="7" t="s">
        <v>125</v>
      </c>
    </row>
    <row r="1696" ht="15" customHeight="1">
      <c r="A1696" s="8">
        <v>1694</v>
      </c>
      <c r="B1696" s="19">
        <v>0.6755</v>
      </c>
      <c r="C1696" s="19">
        <v>1.0908</v>
      </c>
      <c r="D1696" s="17">
        <v>29508.38</v>
      </c>
      <c r="E1696" s="19">
        <v>0.8148</v>
      </c>
      <c r="F1696" s="19">
        <v>0.1362</v>
      </c>
      <c r="G1696" s="17">
        <v>3397204.07</v>
      </c>
      <c r="H1696" s="17">
        <v>4089271.64</v>
      </c>
      <c r="I1696" s="8" t="s">
        <v>125</v>
      </c>
    </row>
    <row r="1697" ht="15" customHeight="1">
      <c r="A1697" s="7">
        <v>1695</v>
      </c>
      <c r="B1697" s="18">
        <v>0.6683</v>
      </c>
      <c r="C1697" s="18">
        <v>1.0286</v>
      </c>
      <c r="D1697" s="16">
        <v>24562.08</v>
      </c>
      <c r="E1697" s="18">
        <v>0.8277</v>
      </c>
      <c r="F1697" s="18">
        <v>0.188</v>
      </c>
      <c r="G1697" s="16">
        <v>3608892.44</v>
      </c>
      <c r="H1697" s="16">
        <v>4357048.46</v>
      </c>
      <c r="I1697" s="7" t="s">
        <v>125</v>
      </c>
    </row>
    <row r="1698" ht="15" customHeight="1">
      <c r="A1698" s="8">
        <v>1696</v>
      </c>
      <c r="B1698" s="19">
        <v>0.6213</v>
      </c>
      <c r="C1698" s="19">
        <v>0.9843</v>
      </c>
      <c r="D1698" s="17">
        <v>26201.65</v>
      </c>
      <c r="E1698" s="19">
        <v>0.9072</v>
      </c>
      <c r="F1698" s="19">
        <v>0.1439</v>
      </c>
      <c r="G1698" s="17">
        <v>3188385.12</v>
      </c>
      <c r="H1698" s="17">
        <v>3843997.23</v>
      </c>
      <c r="I1698" s="8" t="s">
        <v>125</v>
      </c>
    </row>
    <row r="1699" ht="15" customHeight="1">
      <c r="A1699" s="7">
        <v>1697</v>
      </c>
      <c r="B1699" s="18">
        <v>0.6315</v>
      </c>
      <c r="C1699" s="18">
        <v>1.0171</v>
      </c>
      <c r="D1699" s="16">
        <v>29108.7</v>
      </c>
      <c r="E1699" s="18">
        <v>0.9105</v>
      </c>
      <c r="F1699" s="18">
        <v>0.0139</v>
      </c>
      <c r="G1699" s="16">
        <v>2605424.27</v>
      </c>
      <c r="H1699" s="16">
        <v>3112973.64</v>
      </c>
      <c r="I1699" s="7" t="s">
        <v>125</v>
      </c>
    </row>
    <row r="1700" ht="15" customHeight="1">
      <c r="A1700" s="8">
        <v>1698</v>
      </c>
      <c r="B1700" s="19">
        <v>0.6581</v>
      </c>
      <c r="C1700" s="19">
        <v>1.1084</v>
      </c>
      <c r="D1700" s="17">
        <v>29514.28</v>
      </c>
      <c r="E1700" s="19">
        <v>0.7741</v>
      </c>
      <c r="F1700" s="19">
        <v>0.0629</v>
      </c>
      <c r="G1700" s="17">
        <v>2716140.81</v>
      </c>
      <c r="H1700" s="17">
        <v>3259929.22</v>
      </c>
      <c r="I1700" s="8" t="s">
        <v>125</v>
      </c>
    </row>
    <row r="1701" ht="15" customHeight="1">
      <c r="A1701" s="7">
        <v>1699</v>
      </c>
      <c r="B1701" s="18">
        <v>0.7092</v>
      </c>
      <c r="C1701" s="18">
        <v>1.181</v>
      </c>
      <c r="D1701" s="16">
        <v>26821.71</v>
      </c>
      <c r="E1701" s="18">
        <v>0.912</v>
      </c>
      <c r="F1701" s="18">
        <v>0.0936</v>
      </c>
      <c r="G1701" s="16">
        <v>4425644.19</v>
      </c>
      <c r="H1701" s="16">
        <v>5284007.68</v>
      </c>
      <c r="I1701" s="7" t="s">
        <v>125</v>
      </c>
    </row>
    <row r="1702" ht="15" customHeight="1">
      <c r="A1702" s="8">
        <v>1700</v>
      </c>
      <c r="B1702" s="19">
        <v>0.4662</v>
      </c>
      <c r="C1702" s="19">
        <v>1.1414</v>
      </c>
      <c r="D1702" s="17">
        <v>34682.49</v>
      </c>
      <c r="E1702" s="19">
        <v>0.939</v>
      </c>
      <c r="F1702" s="19">
        <v>0.1007</v>
      </c>
      <c r="G1702" s="17">
        <v>2281065.69</v>
      </c>
      <c r="H1702" s="17">
        <v>2761210.5</v>
      </c>
      <c r="I1702" s="8" t="s">
        <v>125</v>
      </c>
    </row>
    <row r="1703" ht="15" customHeight="1">
      <c r="A1703" s="7">
        <v>1701</v>
      </c>
      <c r="B1703" s="18">
        <v>0.5924</v>
      </c>
      <c r="C1703" s="18">
        <v>0.9702</v>
      </c>
      <c r="D1703" s="16">
        <v>31709.99</v>
      </c>
      <c r="E1703" s="18">
        <v>0.8577</v>
      </c>
      <c r="F1703" s="18">
        <v>0.0793</v>
      </c>
      <c r="G1703" s="16">
        <v>2221215.95</v>
      </c>
      <c r="H1703" s="16">
        <v>2683428.68</v>
      </c>
      <c r="I1703" s="7" t="s">
        <v>125</v>
      </c>
    </row>
    <row r="1704" ht="15" customHeight="1">
      <c r="A1704" s="8">
        <v>1702</v>
      </c>
      <c r="B1704" s="19">
        <v>0.3816</v>
      </c>
      <c r="C1704" s="19">
        <v>0.8439</v>
      </c>
      <c r="D1704" s="17">
        <v>23288.62</v>
      </c>
      <c r="E1704" s="19">
        <v>0.8985</v>
      </c>
      <c r="F1704" s="19">
        <v>0.0635</v>
      </c>
      <c r="G1704" s="17">
        <v>971446.02</v>
      </c>
      <c r="H1704" s="17">
        <v>1207723.14</v>
      </c>
      <c r="I1704" s="8" t="s">
        <v>125</v>
      </c>
    </row>
    <row r="1705" ht="15" customHeight="1">
      <c r="A1705" s="7">
        <v>1703</v>
      </c>
      <c r="B1705" s="18">
        <v>0.5854</v>
      </c>
      <c r="C1705" s="18">
        <v>0.922</v>
      </c>
      <c r="D1705" s="16">
        <v>24772.72</v>
      </c>
      <c r="E1705" s="18">
        <v>0.9331</v>
      </c>
      <c r="F1705" s="18">
        <v>0.1334</v>
      </c>
      <c r="G1705" s="16">
        <v>2778177.56</v>
      </c>
      <c r="H1705" s="16">
        <v>3355069.94</v>
      </c>
      <c r="I1705" s="7" t="s">
        <v>125</v>
      </c>
    </row>
    <row r="1706" ht="15" customHeight="1">
      <c r="A1706" s="8">
        <v>1704</v>
      </c>
      <c r="B1706" s="19">
        <v>0.5434</v>
      </c>
      <c r="C1706" s="19">
        <v>1.212</v>
      </c>
      <c r="D1706" s="17">
        <v>27927.61</v>
      </c>
      <c r="E1706" s="19">
        <v>0.8567</v>
      </c>
      <c r="F1706" s="19">
        <v>0.1476</v>
      </c>
      <c r="G1706" s="17">
        <v>3230471.41</v>
      </c>
      <c r="H1706" s="17">
        <v>3895736.05</v>
      </c>
      <c r="I1706" s="8" t="s">
        <v>125</v>
      </c>
    </row>
    <row r="1707" ht="15" customHeight="1">
      <c r="A1707" s="7">
        <v>1705</v>
      </c>
      <c r="B1707" s="18">
        <v>0.5551</v>
      </c>
      <c r="C1707" s="18">
        <v>1.0555</v>
      </c>
      <c r="D1707" s="16">
        <v>28434.71</v>
      </c>
      <c r="E1707" s="18">
        <v>0.946</v>
      </c>
      <c r="F1707" s="18">
        <v>0.1563</v>
      </c>
      <c r="G1707" s="16">
        <v>3185736.98</v>
      </c>
      <c r="H1707" s="16">
        <v>3846091.52</v>
      </c>
      <c r="I1707" s="7" t="s">
        <v>125</v>
      </c>
    </row>
    <row r="1708" ht="15" customHeight="1">
      <c r="A1708" s="8">
        <v>1706</v>
      </c>
      <c r="B1708" s="19">
        <v>0.3851</v>
      </c>
      <c r="C1708" s="19">
        <v>0.6539</v>
      </c>
      <c r="D1708" s="17">
        <v>27447.61</v>
      </c>
      <c r="E1708" s="19">
        <v>0.81</v>
      </c>
      <c r="F1708" s="19">
        <v>0.0359</v>
      </c>
      <c r="G1708" s="17">
        <v>189792.67</v>
      </c>
      <c r="H1708" s="17">
        <v>286077.44</v>
      </c>
      <c r="I1708" s="8" t="s">
        <v>125</v>
      </c>
    </row>
    <row r="1709" ht="15" customHeight="1">
      <c r="A1709" s="7">
        <v>1707</v>
      </c>
      <c r="B1709" s="18">
        <v>0.7046</v>
      </c>
      <c r="C1709" s="18">
        <v>1.0882</v>
      </c>
      <c r="D1709" s="16">
        <v>30061.81</v>
      </c>
      <c r="E1709" s="18">
        <v>0.8499</v>
      </c>
      <c r="F1709" s="18">
        <v>0.1223</v>
      </c>
      <c r="G1709" s="16">
        <v>3686557.95</v>
      </c>
      <c r="H1709" s="16">
        <v>4425788.09</v>
      </c>
      <c r="I1709" s="7" t="s">
        <v>125</v>
      </c>
    </row>
    <row r="1710" ht="15" customHeight="1">
      <c r="A1710" s="8">
        <v>1708</v>
      </c>
      <c r="B1710" s="19">
        <v>0.532</v>
      </c>
      <c r="C1710" s="19">
        <v>0.7427</v>
      </c>
      <c r="D1710" s="17">
        <v>30649.15</v>
      </c>
      <c r="E1710" s="19">
        <v>0.9387</v>
      </c>
      <c r="F1710" s="19">
        <v>0.0747</v>
      </c>
      <c r="G1710" s="17">
        <v>1358935.64</v>
      </c>
      <c r="H1710" s="17">
        <v>1667152.77</v>
      </c>
      <c r="I1710" s="8" t="s">
        <v>125</v>
      </c>
    </row>
    <row r="1711" ht="15" customHeight="1">
      <c r="A1711" s="7">
        <v>1709</v>
      </c>
      <c r="B1711" s="18">
        <v>0.5447</v>
      </c>
      <c r="C1711" s="18">
        <v>0.9912</v>
      </c>
      <c r="D1711" s="16">
        <v>35880.99</v>
      </c>
      <c r="E1711" s="18">
        <v>0.8043</v>
      </c>
      <c r="F1711" s="18">
        <v>0.1041</v>
      </c>
      <c r="G1711" s="16">
        <v>1774313.82</v>
      </c>
      <c r="H1711" s="16">
        <v>2165022.59</v>
      </c>
      <c r="I1711" s="7" t="s">
        <v>125</v>
      </c>
    </row>
    <row r="1712" ht="15" customHeight="1">
      <c r="A1712" s="8">
        <v>1710</v>
      </c>
      <c r="B1712" s="19">
        <v>0.5354</v>
      </c>
      <c r="C1712" s="19">
        <v>0.9944</v>
      </c>
      <c r="D1712" s="17">
        <v>26242.33</v>
      </c>
      <c r="E1712" s="19">
        <v>0.8426</v>
      </c>
      <c r="F1712" s="19">
        <v>0.0221</v>
      </c>
      <c r="G1712" s="17">
        <v>1829822.02</v>
      </c>
      <c r="H1712" s="17">
        <v>2206556.67</v>
      </c>
      <c r="I1712" s="8" t="s">
        <v>125</v>
      </c>
    </row>
    <row r="1713" ht="15" customHeight="1">
      <c r="A1713" s="7">
        <v>1711</v>
      </c>
      <c r="B1713" s="18">
        <v>0.5367</v>
      </c>
      <c r="C1713" s="18">
        <v>1.042</v>
      </c>
      <c r="D1713" s="16">
        <v>37518.23</v>
      </c>
      <c r="E1713" s="18">
        <v>0.9013</v>
      </c>
      <c r="F1713" s="18">
        <v>0.1427</v>
      </c>
      <c r="G1713" s="16">
        <v>2437488.26</v>
      </c>
      <c r="H1713" s="16">
        <v>2960017.79</v>
      </c>
      <c r="I1713" s="7" t="s">
        <v>125</v>
      </c>
    </row>
    <row r="1714" ht="15" customHeight="1">
      <c r="A1714" s="8">
        <v>1712</v>
      </c>
      <c r="B1714" s="19">
        <v>0.5137</v>
      </c>
      <c r="C1714" s="19">
        <v>1.3476</v>
      </c>
      <c r="D1714" s="17">
        <v>36379.55</v>
      </c>
      <c r="E1714" s="19">
        <v>0.8959</v>
      </c>
      <c r="F1714" s="19">
        <v>0.1064</v>
      </c>
      <c r="G1714" s="17">
        <v>3155998.51</v>
      </c>
      <c r="H1714" s="17">
        <v>3795344.85</v>
      </c>
      <c r="I1714" s="8" t="s">
        <v>125</v>
      </c>
    </row>
    <row r="1715" ht="15" customHeight="1">
      <c r="A1715" s="7">
        <v>1713</v>
      </c>
      <c r="B1715" s="18">
        <v>0.3846</v>
      </c>
      <c r="C1715" s="18">
        <v>0.6627</v>
      </c>
      <c r="D1715" s="16">
        <v>31540.36</v>
      </c>
      <c r="E1715" s="18">
        <v>0.8855</v>
      </c>
      <c r="F1715" s="18">
        <v>0.0893</v>
      </c>
      <c r="G1715" s="16">
        <v>324958.69</v>
      </c>
      <c r="H1715" s="16">
        <v>452692.6</v>
      </c>
      <c r="I1715" s="7" t="s">
        <v>125</v>
      </c>
    </row>
    <row r="1716" ht="15" customHeight="1">
      <c r="A1716" s="8">
        <v>1714</v>
      </c>
      <c r="B1716" s="19">
        <v>0.4542</v>
      </c>
      <c r="C1716" s="19">
        <v>0.606</v>
      </c>
      <c r="D1716" s="17">
        <v>31715.3</v>
      </c>
      <c r="E1716" s="19">
        <v>0.9021</v>
      </c>
      <c r="F1716" s="19">
        <v>0.1774</v>
      </c>
      <c r="G1716" s="17">
        <v>704615.11</v>
      </c>
      <c r="H1716" s="17">
        <v>914530.67</v>
      </c>
      <c r="I1716" s="8" t="s">
        <v>125</v>
      </c>
    </row>
    <row r="1717" ht="15" customHeight="1">
      <c r="A1717" s="7">
        <v>1715</v>
      </c>
      <c r="B1717" s="18">
        <v>0.6439</v>
      </c>
      <c r="C1717" s="18">
        <v>1.4843</v>
      </c>
      <c r="D1717" s="16">
        <v>28043.59</v>
      </c>
      <c r="E1717" s="18">
        <v>0.8708</v>
      </c>
      <c r="F1717" s="18">
        <v>0.0797</v>
      </c>
      <c r="G1717" s="16">
        <v>4778001.15</v>
      </c>
      <c r="H1717" s="16">
        <v>5692442.95</v>
      </c>
      <c r="I1717" s="7" t="s">
        <v>125</v>
      </c>
    </row>
    <row r="1718" ht="15" customHeight="1">
      <c r="A1718" s="8">
        <v>1716</v>
      </c>
      <c r="B1718" s="19">
        <v>0.3613</v>
      </c>
      <c r="C1718" s="19">
        <v>0.8389</v>
      </c>
      <c r="D1718" s="17">
        <v>31306.85</v>
      </c>
      <c r="E1718" s="19">
        <v>0.822</v>
      </c>
      <c r="F1718" s="19">
        <v>0.0791</v>
      </c>
      <c r="G1718" s="17">
        <v>478555.34</v>
      </c>
      <c r="H1718" s="17">
        <v>632017.91</v>
      </c>
      <c r="I1718" s="8" t="s">
        <v>125</v>
      </c>
    </row>
    <row r="1719" ht="15" customHeight="1">
      <c r="A1719" s="7">
        <v>1717</v>
      </c>
      <c r="B1719" s="18">
        <v>0.6443</v>
      </c>
      <c r="C1719" s="18">
        <v>1.237</v>
      </c>
      <c r="D1719" s="16">
        <v>24595.12</v>
      </c>
      <c r="E1719" s="18">
        <v>0.9297</v>
      </c>
      <c r="F1719" s="18">
        <v>0.1304</v>
      </c>
      <c r="G1719" s="16">
        <v>4594950.2</v>
      </c>
      <c r="H1719" s="16">
        <v>5500321.45</v>
      </c>
      <c r="I1719" s="7" t="s">
        <v>125</v>
      </c>
    </row>
    <row r="1720" ht="15" customHeight="1">
      <c r="A1720" s="8">
        <v>1718</v>
      </c>
      <c r="B1720" s="19">
        <v>0.7283</v>
      </c>
      <c r="C1720" s="19">
        <v>0.9126</v>
      </c>
      <c r="D1720" s="17">
        <v>24890.21</v>
      </c>
      <c r="E1720" s="19">
        <v>0.8002</v>
      </c>
      <c r="F1720" s="19">
        <v>0.1034</v>
      </c>
      <c r="G1720" s="17">
        <v>2834575.5</v>
      </c>
      <c r="H1720" s="17">
        <v>3411981.52</v>
      </c>
      <c r="I1720" s="8" t="s">
        <v>125</v>
      </c>
    </row>
    <row r="1721" ht="15" customHeight="1">
      <c r="A1721" s="7">
        <v>1719</v>
      </c>
      <c r="B1721" s="18">
        <v>0.5305</v>
      </c>
      <c r="C1721" s="18">
        <v>0.6921</v>
      </c>
      <c r="D1721" s="16">
        <v>36646.3</v>
      </c>
      <c r="E1721" s="18">
        <v>0.9469</v>
      </c>
      <c r="F1721" s="18">
        <v>0.0707</v>
      </c>
      <c r="G1721" s="16">
        <v>995141.27</v>
      </c>
      <c r="H1721" s="16">
        <v>1239457.54</v>
      </c>
      <c r="I1721" s="7" t="s">
        <v>125</v>
      </c>
    </row>
    <row r="1722" ht="15" customHeight="1">
      <c r="A1722" s="8">
        <v>1720</v>
      </c>
      <c r="B1722" s="19">
        <v>0.4665</v>
      </c>
      <c r="C1722" s="19">
        <v>0.5713</v>
      </c>
      <c r="D1722" s="17">
        <v>30416.36</v>
      </c>
      <c r="E1722" s="19">
        <v>0.9169</v>
      </c>
      <c r="F1722" s="19">
        <v>0.1334</v>
      </c>
      <c r="G1722" s="17">
        <v>601998.76</v>
      </c>
      <c r="H1722" s="17">
        <v>785679.53</v>
      </c>
      <c r="I1722" s="8" t="s">
        <v>125</v>
      </c>
    </row>
    <row r="1723" ht="15" customHeight="1">
      <c r="A1723" s="7">
        <v>1721</v>
      </c>
      <c r="B1723" s="18">
        <v>0.605</v>
      </c>
      <c r="C1723" s="18">
        <v>0.9758</v>
      </c>
      <c r="D1723" s="16">
        <v>29673.6</v>
      </c>
      <c r="E1723" s="18">
        <v>0.9402</v>
      </c>
      <c r="F1723" s="18">
        <v>0.1669</v>
      </c>
      <c r="G1723" s="16">
        <v>3214629.7</v>
      </c>
      <c r="H1723" s="16">
        <v>3884577.12</v>
      </c>
      <c r="I1723" s="7" t="s">
        <v>125</v>
      </c>
    </row>
    <row r="1724" ht="15" customHeight="1">
      <c r="A1724" s="8">
        <v>1722</v>
      </c>
      <c r="B1724" s="19">
        <v>0.5829</v>
      </c>
      <c r="C1724" s="19">
        <v>0.9989</v>
      </c>
      <c r="D1724" s="17">
        <v>30371.43</v>
      </c>
      <c r="E1724" s="19">
        <v>0.8759</v>
      </c>
      <c r="F1724" s="19">
        <v>0.065</v>
      </c>
      <c r="G1724" s="17">
        <v>2315084.85</v>
      </c>
      <c r="H1724" s="17">
        <v>2789208.71</v>
      </c>
      <c r="I1724" s="8" t="s">
        <v>125</v>
      </c>
    </row>
    <row r="1725" ht="15" customHeight="1">
      <c r="A1725" s="7">
        <v>1723</v>
      </c>
      <c r="B1725" s="18">
        <v>0.5103</v>
      </c>
      <c r="C1725" s="18">
        <v>1.5091</v>
      </c>
      <c r="D1725" s="16">
        <v>27586.57</v>
      </c>
      <c r="E1725" s="18">
        <v>0.842</v>
      </c>
      <c r="F1725" s="18">
        <v>0.1193</v>
      </c>
      <c r="G1725" s="16">
        <v>3719267.37</v>
      </c>
      <c r="H1725" s="16">
        <v>4462392</v>
      </c>
      <c r="I1725" s="7" t="s">
        <v>125</v>
      </c>
    </row>
    <row r="1726" ht="15" customHeight="1">
      <c r="A1726" s="8">
        <v>1724</v>
      </c>
      <c r="B1726" s="19">
        <v>0.7459</v>
      </c>
      <c r="C1726" s="19">
        <v>1.1051</v>
      </c>
      <c r="D1726" s="17">
        <v>32127.3</v>
      </c>
      <c r="E1726" s="19">
        <v>0.9108</v>
      </c>
      <c r="F1726" s="19">
        <v>0.129</v>
      </c>
      <c r="G1726" s="17">
        <v>4428083.5</v>
      </c>
      <c r="H1726" s="17">
        <v>5305160.07</v>
      </c>
      <c r="I1726" s="8" t="s">
        <v>125</v>
      </c>
    </row>
    <row r="1727" ht="15" customHeight="1">
      <c r="A1727" s="7">
        <v>1725</v>
      </c>
      <c r="B1727" s="18">
        <v>0.5952</v>
      </c>
      <c r="C1727" s="18">
        <v>0.92</v>
      </c>
      <c r="D1727" s="16">
        <v>28499.04</v>
      </c>
      <c r="E1727" s="18">
        <v>0.843</v>
      </c>
      <c r="F1727" s="18">
        <v>0.0522</v>
      </c>
      <c r="G1727" s="16">
        <v>1975749.7</v>
      </c>
      <c r="H1727" s="16">
        <v>2386275.94</v>
      </c>
      <c r="I1727" s="7" t="s">
        <v>125</v>
      </c>
    </row>
    <row r="1728" ht="15" customHeight="1">
      <c r="A1728" s="8">
        <v>1726</v>
      </c>
      <c r="B1728" s="19">
        <v>0.7072</v>
      </c>
      <c r="C1728" s="19">
        <v>1.0399</v>
      </c>
      <c r="D1728" s="17">
        <v>20725.47</v>
      </c>
      <c r="E1728" s="19">
        <v>0.9452</v>
      </c>
      <c r="F1728" s="19">
        <v>0.0196</v>
      </c>
      <c r="G1728" s="17">
        <v>3626266.59</v>
      </c>
      <c r="H1728" s="17">
        <v>4310787.71</v>
      </c>
      <c r="I1728" s="8" t="s">
        <v>125</v>
      </c>
    </row>
    <row r="1729" ht="15" customHeight="1">
      <c r="A1729" s="7">
        <v>1727</v>
      </c>
      <c r="B1729" s="18">
        <v>0.833</v>
      </c>
      <c r="C1729" s="18">
        <v>0.7879</v>
      </c>
      <c r="D1729" s="16">
        <v>21985.22</v>
      </c>
      <c r="E1729" s="18">
        <v>0.9112</v>
      </c>
      <c r="F1729" s="18">
        <v>0.0868</v>
      </c>
      <c r="G1729" s="16">
        <v>3319251.85</v>
      </c>
      <c r="H1729" s="16">
        <v>3976588.64</v>
      </c>
      <c r="I1729" s="7" t="s">
        <v>125</v>
      </c>
    </row>
    <row r="1730" ht="15" customHeight="1">
      <c r="A1730" s="8">
        <v>1728</v>
      </c>
      <c r="B1730" s="19">
        <v>0.5249</v>
      </c>
      <c r="C1730" s="19">
        <v>0.9172</v>
      </c>
      <c r="D1730" s="17">
        <v>32849.96</v>
      </c>
      <c r="E1730" s="19">
        <v>0.8801</v>
      </c>
      <c r="F1730" s="19">
        <v>0.0917</v>
      </c>
      <c r="G1730" s="17">
        <v>1738238.89</v>
      </c>
      <c r="H1730" s="17">
        <v>2118423.7</v>
      </c>
      <c r="I1730" s="8" t="s">
        <v>125</v>
      </c>
    </row>
    <row r="1731" ht="15" customHeight="1">
      <c r="A1731" s="7">
        <v>1729</v>
      </c>
      <c r="B1731" s="18">
        <v>0.6784</v>
      </c>
      <c r="C1731" s="18">
        <v>0.7413</v>
      </c>
      <c r="D1731" s="16">
        <v>20662.33</v>
      </c>
      <c r="E1731" s="18">
        <v>0.9247</v>
      </c>
      <c r="F1731" s="18">
        <v>0.0148</v>
      </c>
      <c r="G1731" s="16">
        <v>2081080.6</v>
      </c>
      <c r="H1731" s="16">
        <v>2498704.07</v>
      </c>
      <c r="I1731" s="7" t="s">
        <v>125</v>
      </c>
    </row>
    <row r="1732" ht="15" customHeight="1">
      <c r="A1732" s="8">
        <v>1730</v>
      </c>
      <c r="B1732" s="19">
        <v>0.3969</v>
      </c>
      <c r="C1732" s="19">
        <v>1.0108</v>
      </c>
      <c r="D1732" s="17">
        <v>30833.18</v>
      </c>
      <c r="E1732" s="19">
        <v>0.9028</v>
      </c>
      <c r="F1732" s="19">
        <v>0.1154</v>
      </c>
      <c r="G1732" s="17">
        <v>1434154.13</v>
      </c>
      <c r="H1732" s="17">
        <v>1765067.74</v>
      </c>
      <c r="I1732" s="8" t="s">
        <v>125</v>
      </c>
    </row>
    <row r="1733" ht="15" customHeight="1">
      <c r="A1733" s="7">
        <v>1731</v>
      </c>
      <c r="B1733" s="18">
        <v>0.5849</v>
      </c>
      <c r="C1733" s="18">
        <v>1.2762</v>
      </c>
      <c r="D1733" s="16">
        <v>36156.39</v>
      </c>
      <c r="E1733" s="18">
        <v>0.8742</v>
      </c>
      <c r="F1733" s="18">
        <v>0.1346</v>
      </c>
      <c r="G1733" s="16">
        <v>3586482.12</v>
      </c>
      <c r="H1733" s="16">
        <v>4314693.71</v>
      </c>
      <c r="I1733" s="7" t="s">
        <v>125</v>
      </c>
    </row>
    <row r="1734" ht="15" customHeight="1">
      <c r="A1734" s="8">
        <v>1732</v>
      </c>
      <c r="B1734" s="19">
        <v>0.528</v>
      </c>
      <c r="C1734" s="19">
        <v>0.8946</v>
      </c>
      <c r="D1734" s="17">
        <v>29255.13</v>
      </c>
      <c r="E1734" s="19">
        <v>0.8445</v>
      </c>
      <c r="F1734" s="19">
        <v>0.1282</v>
      </c>
      <c r="G1734" s="17">
        <v>1810806.29</v>
      </c>
      <c r="H1734" s="17">
        <v>2212307.87</v>
      </c>
      <c r="I1734" s="8" t="s">
        <v>125</v>
      </c>
    </row>
    <row r="1735" ht="15" customHeight="1">
      <c r="A1735" s="7">
        <v>1733</v>
      </c>
      <c r="B1735" s="18">
        <v>0.8085</v>
      </c>
      <c r="C1735" s="18">
        <v>1.2542</v>
      </c>
      <c r="D1735" s="16">
        <v>28882.42</v>
      </c>
      <c r="E1735" s="18">
        <v>0.9069</v>
      </c>
      <c r="F1735" s="18">
        <v>0.0613</v>
      </c>
      <c r="G1735" s="16">
        <v>5220051.32</v>
      </c>
      <c r="H1735" s="16">
        <v>6202716.75</v>
      </c>
      <c r="I1735" s="7" t="s">
        <v>125</v>
      </c>
    </row>
    <row r="1736" ht="15" customHeight="1">
      <c r="A1736" s="8">
        <v>1734</v>
      </c>
      <c r="B1736" s="19">
        <v>0.6164</v>
      </c>
      <c r="C1736" s="19">
        <v>0.7506</v>
      </c>
      <c r="D1736" s="17">
        <v>23161.29</v>
      </c>
      <c r="E1736" s="19">
        <v>0.9323</v>
      </c>
      <c r="F1736" s="19">
        <v>0.1227</v>
      </c>
      <c r="G1736" s="17">
        <v>2223103.61</v>
      </c>
      <c r="H1736" s="17">
        <v>2695732.95</v>
      </c>
      <c r="I1736" s="8" t="s">
        <v>125</v>
      </c>
    </row>
    <row r="1737" ht="15" customHeight="1">
      <c r="A1737" s="7">
        <v>1735</v>
      </c>
      <c r="B1737" s="18">
        <v>0.5972</v>
      </c>
      <c r="C1737" s="18">
        <v>1.3502</v>
      </c>
      <c r="D1737" s="16">
        <v>23184.81</v>
      </c>
      <c r="E1737" s="18">
        <v>0.9237</v>
      </c>
      <c r="F1737" s="18">
        <v>0.1435</v>
      </c>
      <c r="G1737" s="16">
        <v>4766301.82</v>
      </c>
      <c r="H1737" s="16">
        <v>5708495.21</v>
      </c>
      <c r="I1737" s="7" t="s">
        <v>125</v>
      </c>
    </row>
    <row r="1738" ht="15" customHeight="1">
      <c r="A1738" s="8">
        <v>1736</v>
      </c>
      <c r="B1738" s="19">
        <v>0.4711</v>
      </c>
      <c r="C1738" s="19">
        <v>1.0494</v>
      </c>
      <c r="D1738" s="17">
        <v>31446.37</v>
      </c>
      <c r="E1738" s="19">
        <v>0.7805</v>
      </c>
      <c r="F1738" s="19">
        <v>0.0761</v>
      </c>
      <c r="G1738" s="17">
        <v>1446798.68</v>
      </c>
      <c r="H1738" s="17">
        <v>1771030.18</v>
      </c>
      <c r="I1738" s="8" t="s">
        <v>125</v>
      </c>
    </row>
    <row r="1739" ht="15" customHeight="1">
      <c r="A1739" s="7">
        <v>1737</v>
      </c>
      <c r="B1739" s="18">
        <v>0.3905</v>
      </c>
      <c r="C1739" s="18">
        <v>0.9846</v>
      </c>
      <c r="D1739" s="16">
        <v>32111.5</v>
      </c>
      <c r="E1739" s="18">
        <v>0.9099</v>
      </c>
      <c r="F1739" s="18">
        <v>0.0398</v>
      </c>
      <c r="G1739" s="16">
        <v>1048732.57</v>
      </c>
      <c r="H1739" s="16">
        <v>1295178.68</v>
      </c>
      <c r="I1739" s="7" t="s">
        <v>125</v>
      </c>
    </row>
    <row r="1740" ht="15" customHeight="1">
      <c r="A1740" s="8">
        <v>1738</v>
      </c>
      <c r="B1740" s="19">
        <v>0.675</v>
      </c>
      <c r="C1740" s="19">
        <v>1.0056</v>
      </c>
      <c r="D1740" s="17">
        <v>29372.51</v>
      </c>
      <c r="E1740" s="19">
        <v>0.9037</v>
      </c>
      <c r="F1740" s="19">
        <v>0.059</v>
      </c>
      <c r="G1740" s="17">
        <v>3040842.61</v>
      </c>
      <c r="H1740" s="17">
        <v>3640173.85</v>
      </c>
      <c r="I1740" s="8" t="s">
        <v>125</v>
      </c>
    </row>
    <row r="1741" ht="15" customHeight="1">
      <c r="A1741" s="7">
        <v>1739</v>
      </c>
      <c r="B1741" s="18">
        <v>0.4836</v>
      </c>
      <c r="C1741" s="18">
        <v>0.9734</v>
      </c>
      <c r="D1741" s="16">
        <v>25052.6</v>
      </c>
      <c r="E1741" s="18">
        <v>0.8131</v>
      </c>
      <c r="F1741" s="18">
        <v>0.1618</v>
      </c>
      <c r="G1741" s="16">
        <v>1946514.71</v>
      </c>
      <c r="H1741" s="16">
        <v>2379483.25</v>
      </c>
      <c r="I1741" s="7" t="s">
        <v>125</v>
      </c>
    </row>
    <row r="1742" ht="15" customHeight="1">
      <c r="A1742" s="8">
        <v>1740</v>
      </c>
      <c r="B1742" s="19">
        <v>0.7093</v>
      </c>
      <c r="C1742" s="19">
        <v>0.6935</v>
      </c>
      <c r="D1742" s="17">
        <v>32822.52</v>
      </c>
      <c r="E1742" s="19">
        <v>0.9411</v>
      </c>
      <c r="F1742" s="19">
        <v>0.1214</v>
      </c>
      <c r="G1742" s="17">
        <v>2161216.4</v>
      </c>
      <c r="H1742" s="17">
        <v>2625456.06</v>
      </c>
      <c r="I1742" s="8" t="s">
        <v>125</v>
      </c>
    </row>
    <row r="1743" ht="15" customHeight="1">
      <c r="A1743" s="7">
        <v>1741</v>
      </c>
      <c r="B1743" s="18">
        <v>0.665</v>
      </c>
      <c r="C1743" s="18">
        <v>1.1381</v>
      </c>
      <c r="D1743" s="16">
        <v>23067.74</v>
      </c>
      <c r="E1743" s="18">
        <v>0.8465</v>
      </c>
      <c r="F1743" s="18">
        <v>0.1626</v>
      </c>
      <c r="G1743" s="16">
        <v>4079808.64</v>
      </c>
      <c r="H1743" s="16">
        <v>4904548.97</v>
      </c>
      <c r="I1743" s="7" t="s">
        <v>125</v>
      </c>
    </row>
    <row r="1744" ht="15" customHeight="1">
      <c r="A1744" s="8">
        <v>1742</v>
      </c>
      <c r="B1744" s="19">
        <v>0.6126</v>
      </c>
      <c r="C1744" s="19">
        <v>0.5034</v>
      </c>
      <c r="D1744" s="17">
        <v>27320.4</v>
      </c>
      <c r="E1744" s="19">
        <v>0.8708</v>
      </c>
      <c r="F1744" s="19">
        <v>0.1694</v>
      </c>
      <c r="G1744" s="17">
        <v>982659.7</v>
      </c>
      <c r="H1744" s="17">
        <v>1240649.68</v>
      </c>
      <c r="I1744" s="8" t="s">
        <v>125</v>
      </c>
    </row>
    <row r="1745" ht="15" customHeight="1">
      <c r="A1745" s="7">
        <v>1743</v>
      </c>
      <c r="B1745" s="18">
        <v>0.4319</v>
      </c>
      <c r="C1745" s="18">
        <v>1.2394</v>
      </c>
      <c r="D1745" s="16">
        <v>35556.08</v>
      </c>
      <c r="E1745" s="18">
        <v>0.9489</v>
      </c>
      <c r="F1745" s="18">
        <v>0.1585</v>
      </c>
      <c r="G1745" s="16">
        <v>2609225.88</v>
      </c>
      <c r="H1745" s="16">
        <v>3167449.94</v>
      </c>
      <c r="I1745" s="7" t="s">
        <v>125</v>
      </c>
    </row>
    <row r="1746" ht="15" customHeight="1">
      <c r="A1746" s="8">
        <v>1744</v>
      </c>
      <c r="B1746" s="19">
        <v>0.3876</v>
      </c>
      <c r="C1746" s="19">
        <v>1.1425</v>
      </c>
      <c r="D1746" s="17">
        <v>32463.09</v>
      </c>
      <c r="E1746" s="19">
        <v>0.9477</v>
      </c>
      <c r="F1746" s="19">
        <v>0.1287</v>
      </c>
      <c r="G1746" s="17">
        <v>1873008.23</v>
      </c>
      <c r="H1746" s="17">
        <v>2286998.29</v>
      </c>
      <c r="I1746" s="8" t="s">
        <v>125</v>
      </c>
    </row>
    <row r="1747" ht="15" customHeight="1">
      <c r="A1747" s="7">
        <v>1745</v>
      </c>
      <c r="B1747" s="18">
        <v>0.6296</v>
      </c>
      <c r="C1747" s="18">
        <v>1.2261</v>
      </c>
      <c r="D1747" s="16">
        <v>31511.01</v>
      </c>
      <c r="E1747" s="18">
        <v>0.9132</v>
      </c>
      <c r="F1747" s="18">
        <v>0.1447</v>
      </c>
      <c r="G1747" s="16">
        <v>4206768.94</v>
      </c>
      <c r="H1747" s="16">
        <v>5050547.8</v>
      </c>
      <c r="I1747" s="7" t="s">
        <v>125</v>
      </c>
    </row>
    <row r="1748" ht="15" customHeight="1">
      <c r="A1748" s="8">
        <v>1746</v>
      </c>
      <c r="B1748" s="19">
        <v>0.5855</v>
      </c>
      <c r="C1748" s="19">
        <v>1.4321</v>
      </c>
      <c r="D1748" s="17">
        <v>18658.55</v>
      </c>
      <c r="E1748" s="19">
        <v>0.8487</v>
      </c>
      <c r="F1748" s="19">
        <v>0.1442</v>
      </c>
      <c r="G1748" s="17">
        <v>4650885.1</v>
      </c>
      <c r="H1748" s="17">
        <v>5570607.21</v>
      </c>
      <c r="I1748" s="8" t="s">
        <v>125</v>
      </c>
    </row>
    <row r="1749" ht="15" customHeight="1">
      <c r="A1749" s="7">
        <v>1747</v>
      </c>
      <c r="B1749" s="18">
        <v>0.7237</v>
      </c>
      <c r="C1749" s="18">
        <v>0.631</v>
      </c>
      <c r="D1749" s="16">
        <v>26296.84</v>
      </c>
      <c r="E1749" s="18">
        <v>0.9611</v>
      </c>
      <c r="F1749" s="18">
        <v>0.0539</v>
      </c>
      <c r="G1749" s="16">
        <v>1892875.84</v>
      </c>
      <c r="H1749" s="16">
        <v>2289070.93</v>
      </c>
      <c r="I1749" s="7" t="s">
        <v>125</v>
      </c>
    </row>
    <row r="1750" ht="15" customHeight="1">
      <c r="A1750" s="8">
        <v>1748</v>
      </c>
      <c r="B1750" s="19">
        <v>0.6293</v>
      </c>
      <c r="C1750" s="19">
        <v>1.0392</v>
      </c>
      <c r="D1750" s="17">
        <v>27431.76</v>
      </c>
      <c r="E1750" s="19">
        <v>0.9022</v>
      </c>
      <c r="F1750" s="19">
        <v>0.0935</v>
      </c>
      <c r="G1750" s="17">
        <v>3131429.69</v>
      </c>
      <c r="H1750" s="17">
        <v>3759117.27</v>
      </c>
      <c r="I1750" s="8" t="s">
        <v>125</v>
      </c>
    </row>
    <row r="1751" ht="15" customHeight="1">
      <c r="A1751" s="7">
        <v>1749</v>
      </c>
      <c r="B1751" s="18">
        <v>0.5553</v>
      </c>
      <c r="C1751" s="18">
        <v>1.2506</v>
      </c>
      <c r="D1751" s="16">
        <v>28585.79</v>
      </c>
      <c r="E1751" s="18">
        <v>0.8942</v>
      </c>
      <c r="F1751" s="18">
        <v>0.0977</v>
      </c>
      <c r="G1751" s="16">
        <v>3348379.31</v>
      </c>
      <c r="H1751" s="16">
        <v>4016646.55</v>
      </c>
      <c r="I1751" s="7" t="s">
        <v>125</v>
      </c>
    </row>
    <row r="1752" ht="15" customHeight="1">
      <c r="A1752" s="8">
        <v>1750</v>
      </c>
      <c r="B1752" s="19">
        <v>0.5749</v>
      </c>
      <c r="C1752" s="19">
        <v>0.8101</v>
      </c>
      <c r="D1752" s="17">
        <v>30763.34</v>
      </c>
      <c r="E1752" s="19">
        <v>0.857</v>
      </c>
      <c r="F1752" s="19">
        <v>0.1227</v>
      </c>
      <c r="G1752" s="17">
        <v>1743614.32</v>
      </c>
      <c r="H1752" s="17">
        <v>2132073.76</v>
      </c>
      <c r="I1752" s="8" t="s">
        <v>125</v>
      </c>
    </row>
    <row r="1753" ht="15" customHeight="1">
      <c r="A1753" s="7">
        <v>1751</v>
      </c>
      <c r="B1753" s="18">
        <v>0.838</v>
      </c>
      <c r="C1753" s="18">
        <v>0.6385</v>
      </c>
      <c r="D1753" s="16">
        <v>32244.6</v>
      </c>
      <c r="E1753" s="18">
        <v>0.809</v>
      </c>
      <c r="F1753" s="18">
        <v>0.1064</v>
      </c>
      <c r="G1753" s="16">
        <v>1886183.06</v>
      </c>
      <c r="H1753" s="16">
        <v>2296542.61</v>
      </c>
      <c r="I1753" s="7" t="s">
        <v>125</v>
      </c>
    </row>
    <row r="1754" ht="15" customHeight="1">
      <c r="A1754" s="8">
        <v>1752</v>
      </c>
      <c r="B1754" s="19">
        <v>0.5946</v>
      </c>
      <c r="C1754" s="19">
        <v>1.1198</v>
      </c>
      <c r="D1754" s="17">
        <v>26805.07</v>
      </c>
      <c r="E1754" s="19">
        <v>0.9113</v>
      </c>
      <c r="F1754" s="19">
        <v>0.119</v>
      </c>
      <c r="G1754" s="17">
        <v>3425134.42</v>
      </c>
      <c r="H1754" s="17">
        <v>4114800.01</v>
      </c>
      <c r="I1754" s="8" t="s">
        <v>125</v>
      </c>
    </row>
    <row r="1755" ht="15" customHeight="1">
      <c r="A1755" s="7">
        <v>1753</v>
      </c>
      <c r="B1755" s="18">
        <v>0.3508</v>
      </c>
      <c r="C1755" s="18">
        <v>0.7839</v>
      </c>
      <c r="D1755" s="16">
        <v>26929.25</v>
      </c>
      <c r="E1755" s="18">
        <v>0.8863</v>
      </c>
      <c r="F1755" s="18">
        <v>0.1284</v>
      </c>
      <c r="G1755" s="16">
        <v>691833.11</v>
      </c>
      <c r="H1755" s="16">
        <v>889821.19</v>
      </c>
      <c r="I1755" s="7" t="s">
        <v>125</v>
      </c>
    </row>
    <row r="1756" ht="15" customHeight="1">
      <c r="A1756" s="8">
        <v>1754</v>
      </c>
      <c r="B1756" s="19">
        <v>0.5756</v>
      </c>
      <c r="C1756" s="19">
        <v>1.1643</v>
      </c>
      <c r="D1756" s="17">
        <v>25892.96</v>
      </c>
      <c r="E1756" s="19">
        <v>0.9235</v>
      </c>
      <c r="F1756" s="19">
        <v>0.0705</v>
      </c>
      <c r="G1756" s="17">
        <v>3254148.61</v>
      </c>
      <c r="H1756" s="17">
        <v>3894716.25</v>
      </c>
      <c r="I1756" s="8" t="s">
        <v>125</v>
      </c>
    </row>
    <row r="1757" ht="15" customHeight="1">
      <c r="A1757" s="7">
        <v>1755</v>
      </c>
      <c r="B1757" s="18">
        <v>0.5651</v>
      </c>
      <c r="C1757" s="18">
        <v>0.9463</v>
      </c>
      <c r="D1757" s="16">
        <v>25630.84</v>
      </c>
      <c r="E1757" s="18">
        <v>0.8024</v>
      </c>
      <c r="F1757" s="18">
        <v>0.0739</v>
      </c>
      <c r="G1757" s="16">
        <v>1926123.67</v>
      </c>
      <c r="H1757" s="16">
        <v>2333333.49</v>
      </c>
      <c r="I1757" s="7" t="s">
        <v>125</v>
      </c>
    </row>
    <row r="1758" ht="15" customHeight="1">
      <c r="A1758" s="8">
        <v>1756</v>
      </c>
      <c r="B1758" s="19">
        <v>0.5051</v>
      </c>
      <c r="C1758" s="19">
        <v>0.9038</v>
      </c>
      <c r="D1758" s="17">
        <v>31363.16</v>
      </c>
      <c r="E1758" s="19">
        <v>0.8324</v>
      </c>
      <c r="F1758" s="19">
        <v>0.1062</v>
      </c>
      <c r="G1758" s="17">
        <v>1518345.64</v>
      </c>
      <c r="H1758" s="17">
        <v>1862432.26</v>
      </c>
      <c r="I1758" s="8" t="s">
        <v>125</v>
      </c>
    </row>
    <row r="1759" ht="15" customHeight="1">
      <c r="A1759" s="7">
        <v>1757</v>
      </c>
      <c r="B1759" s="18">
        <v>0.6042</v>
      </c>
      <c r="C1759" s="18">
        <v>1.116</v>
      </c>
      <c r="D1759" s="16">
        <v>34133.51</v>
      </c>
      <c r="E1759" s="18">
        <v>0.949</v>
      </c>
      <c r="F1759" s="18">
        <v>0.1166</v>
      </c>
      <c r="G1759" s="16">
        <v>3435472.82</v>
      </c>
      <c r="H1759" s="16">
        <v>4128380.41</v>
      </c>
      <c r="I1759" s="7" t="s">
        <v>125</v>
      </c>
    </row>
    <row r="1760" ht="15" customHeight="1">
      <c r="A1760" s="8">
        <v>1758</v>
      </c>
      <c r="B1760" s="19">
        <v>0.5244</v>
      </c>
      <c r="C1760" s="19">
        <v>0.9101</v>
      </c>
      <c r="D1760" s="17">
        <v>21543.88</v>
      </c>
      <c r="E1760" s="19">
        <v>0.9158</v>
      </c>
      <c r="F1760" s="19">
        <v>0.0506</v>
      </c>
      <c r="G1760" s="17">
        <v>2012809.18</v>
      </c>
      <c r="H1760" s="17">
        <v>2428391.9</v>
      </c>
      <c r="I1760" s="8" t="s">
        <v>125</v>
      </c>
    </row>
    <row r="1761" ht="15" customHeight="1">
      <c r="A1761" s="7">
        <v>1759</v>
      </c>
      <c r="B1761" s="18">
        <v>0.6219</v>
      </c>
      <c r="C1761" s="18">
        <v>0.6779</v>
      </c>
      <c r="D1761" s="16">
        <v>27667.18</v>
      </c>
      <c r="E1761" s="18">
        <v>0.8463</v>
      </c>
      <c r="F1761" s="18">
        <v>0.1399</v>
      </c>
      <c r="G1761" s="16">
        <v>1578384.31</v>
      </c>
      <c r="H1761" s="16">
        <v>1939877.4</v>
      </c>
      <c r="I1761" s="7" t="s">
        <v>125</v>
      </c>
    </row>
    <row r="1762" ht="15" customHeight="1">
      <c r="A1762" s="8">
        <v>1760</v>
      </c>
      <c r="B1762" s="19">
        <v>0.6326</v>
      </c>
      <c r="C1762" s="19">
        <v>1.1625</v>
      </c>
      <c r="D1762" s="17">
        <v>33466.43</v>
      </c>
      <c r="E1762" s="19">
        <v>0.8433</v>
      </c>
      <c r="F1762" s="19">
        <v>0.1164</v>
      </c>
      <c r="G1762" s="17">
        <v>3306657.28</v>
      </c>
      <c r="H1762" s="17">
        <v>3976093.55</v>
      </c>
      <c r="I1762" s="8" t="s">
        <v>125</v>
      </c>
    </row>
    <row r="1763" ht="15" customHeight="1">
      <c r="A1763" s="7">
        <v>1761</v>
      </c>
      <c r="B1763" s="18">
        <v>0.6142</v>
      </c>
      <c r="C1763" s="18">
        <v>1.0422</v>
      </c>
      <c r="D1763" s="16">
        <v>28603.15</v>
      </c>
      <c r="E1763" s="18">
        <v>0.8311</v>
      </c>
      <c r="F1763" s="18">
        <v>0.1323</v>
      </c>
      <c r="G1763" s="16">
        <v>2873927.08</v>
      </c>
      <c r="H1763" s="16">
        <v>3469191.78</v>
      </c>
      <c r="I1763" s="7" t="s">
        <v>125</v>
      </c>
    </row>
    <row r="1764" ht="15" customHeight="1">
      <c r="A1764" s="8">
        <v>1762</v>
      </c>
      <c r="B1764" s="19">
        <v>0.6981</v>
      </c>
      <c r="C1764" s="19">
        <v>0.8436</v>
      </c>
      <c r="D1764" s="17">
        <v>30836.2</v>
      </c>
      <c r="E1764" s="19">
        <v>0.9272</v>
      </c>
      <c r="F1764" s="19">
        <v>0.1218</v>
      </c>
      <c r="G1764" s="17">
        <v>2856354.82</v>
      </c>
      <c r="H1764" s="17">
        <v>3445670.42</v>
      </c>
      <c r="I1764" s="8" t="s">
        <v>125</v>
      </c>
    </row>
    <row r="1765" ht="15" customHeight="1">
      <c r="A1765" s="7">
        <v>1763</v>
      </c>
      <c r="B1765" s="18">
        <v>0.6727</v>
      </c>
      <c r="C1765" s="18">
        <v>1.0604</v>
      </c>
      <c r="D1765" s="16">
        <v>32543.95</v>
      </c>
      <c r="E1765" s="18">
        <v>0.8972</v>
      </c>
      <c r="F1765" s="18">
        <v>0.0891</v>
      </c>
      <c r="G1765" s="16">
        <v>3313046.55</v>
      </c>
      <c r="H1765" s="16">
        <v>3972659.54</v>
      </c>
      <c r="I1765" s="7" t="s">
        <v>125</v>
      </c>
    </row>
    <row r="1766" ht="15" customHeight="1">
      <c r="A1766" s="8">
        <v>1764</v>
      </c>
      <c r="B1766" s="19">
        <v>0.6817</v>
      </c>
      <c r="C1766" s="19">
        <v>0.8498</v>
      </c>
      <c r="D1766" s="17">
        <v>26325.71</v>
      </c>
      <c r="E1766" s="19">
        <v>0.8404</v>
      </c>
      <c r="F1766" s="19">
        <v>0.0263</v>
      </c>
      <c r="G1766" s="17">
        <v>2101222.23</v>
      </c>
      <c r="H1766" s="17">
        <v>2525917.38</v>
      </c>
      <c r="I1766" s="8" t="s">
        <v>125</v>
      </c>
    </row>
    <row r="1767" ht="15" customHeight="1">
      <c r="A1767" s="7">
        <v>1765</v>
      </c>
      <c r="B1767" s="18">
        <v>0.4549</v>
      </c>
      <c r="C1767" s="18">
        <v>1.0454</v>
      </c>
      <c r="D1767" s="16">
        <v>25176.56</v>
      </c>
      <c r="E1767" s="18">
        <v>0.9663</v>
      </c>
      <c r="F1767" s="18">
        <v>0.0911</v>
      </c>
      <c r="G1767" s="16">
        <v>2233575.26</v>
      </c>
      <c r="H1767" s="16">
        <v>2699934.3</v>
      </c>
      <c r="I1767" s="7" t="s">
        <v>125</v>
      </c>
    </row>
    <row r="1768" ht="15" customHeight="1">
      <c r="A1768" s="8">
        <v>1766</v>
      </c>
      <c r="B1768" s="19">
        <v>0.5771</v>
      </c>
      <c r="C1768" s="19">
        <v>1.28</v>
      </c>
      <c r="D1768" s="17">
        <v>30925.27</v>
      </c>
      <c r="E1768" s="19">
        <v>0.8681</v>
      </c>
      <c r="F1768" s="19">
        <v>0.0481</v>
      </c>
      <c r="G1768" s="17">
        <v>3123113.77</v>
      </c>
      <c r="H1768" s="17">
        <v>3732936.96</v>
      </c>
      <c r="I1768" s="8" t="s">
        <v>125</v>
      </c>
    </row>
    <row r="1769" ht="15" customHeight="1">
      <c r="A1769" s="7">
        <v>1767</v>
      </c>
      <c r="B1769" s="18">
        <v>0.6188</v>
      </c>
      <c r="C1769" s="18">
        <v>0.6149</v>
      </c>
      <c r="D1769" s="16">
        <v>31990.72</v>
      </c>
      <c r="E1769" s="18">
        <v>0.848</v>
      </c>
      <c r="F1769" s="18">
        <v>0.0816</v>
      </c>
      <c r="G1769" s="16">
        <v>994164.39</v>
      </c>
      <c r="H1769" s="16">
        <v>1239570.92</v>
      </c>
      <c r="I1769" s="7" t="s">
        <v>125</v>
      </c>
    </row>
    <row r="1770" ht="15" customHeight="1">
      <c r="A1770" s="8">
        <v>1768</v>
      </c>
      <c r="B1770" s="19">
        <v>0.7619</v>
      </c>
      <c r="C1770" s="19">
        <v>0.99</v>
      </c>
      <c r="D1770" s="17">
        <v>34118.43</v>
      </c>
      <c r="E1770" s="19">
        <v>0.8636</v>
      </c>
      <c r="F1770" s="19">
        <v>0.0812</v>
      </c>
      <c r="G1770" s="17">
        <v>3298782.27</v>
      </c>
      <c r="H1770" s="17">
        <v>3953116.44</v>
      </c>
      <c r="I1770" s="8" t="s">
        <v>125</v>
      </c>
    </row>
    <row r="1771" ht="15" customHeight="1">
      <c r="A1771" s="7">
        <v>1769</v>
      </c>
      <c r="B1771" s="18">
        <v>0.5274</v>
      </c>
      <c r="C1771" s="18">
        <v>1.1143</v>
      </c>
      <c r="D1771" s="16">
        <v>23860.26</v>
      </c>
      <c r="E1771" s="18">
        <v>0.9275</v>
      </c>
      <c r="F1771" s="18">
        <v>0.0847</v>
      </c>
      <c r="G1771" s="16">
        <v>2865504.82</v>
      </c>
      <c r="H1771" s="16">
        <v>3441940.86</v>
      </c>
      <c r="I1771" s="7" t="s">
        <v>125</v>
      </c>
    </row>
    <row r="1772" ht="15" customHeight="1">
      <c r="A1772" s="8">
        <v>1770</v>
      </c>
      <c r="B1772" s="19">
        <v>0.5142</v>
      </c>
      <c r="C1772" s="19">
        <v>1.1013</v>
      </c>
      <c r="D1772" s="17">
        <v>24388.22</v>
      </c>
      <c r="E1772" s="19">
        <v>0.9091</v>
      </c>
      <c r="F1772" s="19">
        <v>0.0859</v>
      </c>
      <c r="G1772" s="17">
        <v>2635549.78</v>
      </c>
      <c r="H1772" s="17">
        <v>3171636.74</v>
      </c>
      <c r="I1772" s="8" t="s">
        <v>125</v>
      </c>
    </row>
    <row r="1773" ht="15" customHeight="1">
      <c r="A1773" s="7">
        <v>1771</v>
      </c>
      <c r="B1773" s="18">
        <v>0.7694</v>
      </c>
      <c r="C1773" s="18">
        <v>1.1887</v>
      </c>
      <c r="D1773" s="16">
        <v>25493.8</v>
      </c>
      <c r="E1773" s="18">
        <v>0.815</v>
      </c>
      <c r="F1773" s="18">
        <v>0.15</v>
      </c>
      <c r="G1773" s="16">
        <v>4749205.94</v>
      </c>
      <c r="H1773" s="16">
        <v>5692207.42</v>
      </c>
      <c r="I1773" s="7" t="s">
        <v>125</v>
      </c>
    </row>
    <row r="1774" ht="15" customHeight="1">
      <c r="A1774" s="8">
        <v>1772</v>
      </c>
      <c r="B1774" s="19">
        <v>0.5708</v>
      </c>
      <c r="C1774" s="19">
        <v>1.2343</v>
      </c>
      <c r="D1774" s="17">
        <v>27495.71</v>
      </c>
      <c r="E1774" s="19">
        <v>0.835</v>
      </c>
      <c r="F1774" s="19">
        <v>0.0211</v>
      </c>
      <c r="G1774" s="17">
        <v>2717215.81</v>
      </c>
      <c r="H1774" s="17">
        <v>3246416.63</v>
      </c>
      <c r="I1774" s="8" t="s">
        <v>125</v>
      </c>
    </row>
    <row r="1775" ht="15" customHeight="1">
      <c r="A1775" s="7">
        <v>1773</v>
      </c>
      <c r="B1775" s="18">
        <v>0.4369</v>
      </c>
      <c r="C1775" s="18">
        <v>0.7921</v>
      </c>
      <c r="D1775" s="16">
        <v>33058.41</v>
      </c>
      <c r="E1775" s="18">
        <v>0.8721</v>
      </c>
      <c r="F1775" s="18">
        <v>0.0882</v>
      </c>
      <c r="G1775" s="16">
        <v>829812</v>
      </c>
      <c r="H1775" s="16">
        <v>1047559.5</v>
      </c>
      <c r="I1775" s="7" t="s">
        <v>125</v>
      </c>
    </row>
    <row r="1776" ht="15" customHeight="1">
      <c r="A1776" s="8">
        <v>1774</v>
      </c>
      <c r="B1776" s="19">
        <v>0.6559</v>
      </c>
      <c r="C1776" s="19">
        <v>1.1521</v>
      </c>
      <c r="D1776" s="17">
        <v>26732.27</v>
      </c>
      <c r="E1776" s="19">
        <v>0.9138</v>
      </c>
      <c r="F1776" s="19">
        <v>0.13</v>
      </c>
      <c r="G1776" s="17">
        <v>4138668.12</v>
      </c>
      <c r="H1776" s="17">
        <v>4961873.51</v>
      </c>
      <c r="I1776" s="8" t="s">
        <v>125</v>
      </c>
    </row>
    <row r="1777" ht="15" customHeight="1">
      <c r="A1777" s="7">
        <v>1775</v>
      </c>
      <c r="B1777" s="18">
        <v>0.6412</v>
      </c>
      <c r="C1777" s="18">
        <v>0.8907</v>
      </c>
      <c r="D1777" s="16">
        <v>29155.79</v>
      </c>
      <c r="E1777" s="18">
        <v>0.9288</v>
      </c>
      <c r="F1777" s="18">
        <v>0.048</v>
      </c>
      <c r="G1777" s="16">
        <v>2412492.72</v>
      </c>
      <c r="H1777" s="16">
        <v>2898098.41</v>
      </c>
      <c r="I1777" s="7" t="s">
        <v>125</v>
      </c>
    </row>
    <row r="1778" ht="15" customHeight="1">
      <c r="A1778" s="8">
        <v>1776</v>
      </c>
      <c r="B1778" s="19">
        <v>0.6933</v>
      </c>
      <c r="C1778" s="19">
        <v>0.8789</v>
      </c>
      <c r="D1778" s="17">
        <v>24803.56</v>
      </c>
      <c r="E1778" s="19">
        <v>0.8268</v>
      </c>
      <c r="F1778" s="19">
        <v>0.1048</v>
      </c>
      <c r="G1778" s="17">
        <v>2635935.92</v>
      </c>
      <c r="H1778" s="17">
        <v>3178158.41</v>
      </c>
      <c r="I1778" s="8" t="s">
        <v>125</v>
      </c>
    </row>
    <row r="1779" ht="15" customHeight="1">
      <c r="A1779" s="7">
        <v>1777</v>
      </c>
      <c r="B1779" s="18">
        <v>0.7055</v>
      </c>
      <c r="C1779" s="18">
        <v>1.2054</v>
      </c>
      <c r="D1779" s="16">
        <v>32121.31</v>
      </c>
      <c r="E1779" s="18">
        <v>0.8768</v>
      </c>
      <c r="F1779" s="18">
        <v>0.1503</v>
      </c>
      <c r="G1779" s="16">
        <v>4549159.34</v>
      </c>
      <c r="H1779" s="16">
        <v>5458326.05</v>
      </c>
      <c r="I1779" s="7" t="s">
        <v>125</v>
      </c>
    </row>
    <row r="1780" ht="15" customHeight="1">
      <c r="A1780" s="8">
        <v>1778</v>
      </c>
      <c r="B1780" s="19">
        <v>0.6581</v>
      </c>
      <c r="C1780" s="19">
        <v>0.8974</v>
      </c>
      <c r="D1780" s="17">
        <v>29107.62</v>
      </c>
      <c r="E1780" s="19">
        <v>0.9208</v>
      </c>
      <c r="F1780" s="19">
        <v>0.1346</v>
      </c>
      <c r="G1780" s="17">
        <v>2962118.23</v>
      </c>
      <c r="H1780" s="17">
        <v>3574375.13</v>
      </c>
      <c r="I1780" s="8" t="s">
        <v>125</v>
      </c>
    </row>
    <row r="1781" ht="15" customHeight="1">
      <c r="A1781" s="7">
        <v>1779</v>
      </c>
      <c r="B1781" s="18">
        <v>0.3533</v>
      </c>
      <c r="C1781" s="18">
        <v>1.0781</v>
      </c>
      <c r="D1781" s="16">
        <v>26009.24</v>
      </c>
      <c r="E1781" s="18">
        <v>0.9371</v>
      </c>
      <c r="F1781" s="18">
        <v>0.1662</v>
      </c>
      <c r="G1781" s="16">
        <v>1725986.97</v>
      </c>
      <c r="H1781" s="16">
        <v>2119803.23</v>
      </c>
      <c r="I1781" s="7" t="s">
        <v>125</v>
      </c>
    </row>
    <row r="1782" ht="15" customHeight="1">
      <c r="A1782" s="8">
        <v>1780</v>
      </c>
      <c r="B1782" s="19">
        <v>0.6107</v>
      </c>
      <c r="C1782" s="19">
        <v>0.7709</v>
      </c>
      <c r="D1782" s="17">
        <v>37381.32</v>
      </c>
      <c r="E1782" s="19">
        <v>0.8434</v>
      </c>
      <c r="F1782" s="19">
        <v>0.0791</v>
      </c>
      <c r="G1782" s="17">
        <v>1355604.53</v>
      </c>
      <c r="H1782" s="17">
        <v>1665675.7</v>
      </c>
      <c r="I1782" s="8" t="s">
        <v>125</v>
      </c>
    </row>
    <row r="1783" ht="15" customHeight="1">
      <c r="A1783" s="7">
        <v>1781</v>
      </c>
      <c r="B1783" s="18">
        <v>0.5928</v>
      </c>
      <c r="C1783" s="18">
        <v>1.0133</v>
      </c>
      <c r="D1783" s="16">
        <v>29470.65</v>
      </c>
      <c r="E1783" s="18">
        <v>0.9217</v>
      </c>
      <c r="F1783" s="18">
        <v>0.0617</v>
      </c>
      <c r="G1783" s="16">
        <v>2633526.14</v>
      </c>
      <c r="H1783" s="16">
        <v>3162385.71</v>
      </c>
      <c r="I1783" s="7" t="s">
        <v>125</v>
      </c>
    </row>
    <row r="1784" ht="15" customHeight="1">
      <c r="A1784" s="8">
        <v>1782</v>
      </c>
      <c r="B1784" s="19">
        <v>0.6142</v>
      </c>
      <c r="C1784" s="19">
        <v>1.1308</v>
      </c>
      <c r="D1784" s="17">
        <v>23614.91</v>
      </c>
      <c r="E1784" s="19">
        <v>0.8877</v>
      </c>
      <c r="F1784" s="19">
        <v>0.1211</v>
      </c>
      <c r="G1784" s="17">
        <v>3610820.01</v>
      </c>
      <c r="H1784" s="17">
        <v>4333812.95</v>
      </c>
      <c r="I1784" s="8" t="s">
        <v>125</v>
      </c>
    </row>
    <row r="1785" ht="15" customHeight="1">
      <c r="A1785" s="7">
        <v>1783</v>
      </c>
      <c r="B1785" s="18">
        <v>0.7608</v>
      </c>
      <c r="C1785" s="18">
        <v>0.9321</v>
      </c>
      <c r="D1785" s="16">
        <v>26359.58</v>
      </c>
      <c r="E1785" s="18">
        <v>0.9291</v>
      </c>
      <c r="F1785" s="18">
        <v>0.0344</v>
      </c>
      <c r="G1785" s="16">
        <v>3301011.71</v>
      </c>
      <c r="H1785" s="16">
        <v>3935833.01</v>
      </c>
      <c r="I1785" s="7" t="s">
        <v>125</v>
      </c>
    </row>
    <row r="1786" ht="15" customHeight="1">
      <c r="A1786" s="8">
        <v>1784</v>
      </c>
      <c r="B1786" s="19">
        <v>0.6438</v>
      </c>
      <c r="C1786" s="19">
        <v>1.0392</v>
      </c>
      <c r="D1786" s="17">
        <v>35462.69</v>
      </c>
      <c r="E1786" s="19">
        <v>0.8993</v>
      </c>
      <c r="F1786" s="19">
        <v>0.0864</v>
      </c>
      <c r="G1786" s="17">
        <v>2928335.93</v>
      </c>
      <c r="H1786" s="17">
        <v>3519209.41</v>
      </c>
      <c r="I1786" s="8" t="s">
        <v>125</v>
      </c>
    </row>
    <row r="1787" ht="15" customHeight="1">
      <c r="A1787" s="7">
        <v>1785</v>
      </c>
      <c r="B1787" s="18">
        <v>0.6513</v>
      </c>
      <c r="C1787" s="18">
        <v>1.1152</v>
      </c>
      <c r="D1787" s="16">
        <v>28919.05</v>
      </c>
      <c r="E1787" s="18">
        <v>0.8406</v>
      </c>
      <c r="F1787" s="18">
        <v>0.0898</v>
      </c>
      <c r="G1787" s="16">
        <v>3214309.32</v>
      </c>
      <c r="H1787" s="16">
        <v>3855775.7</v>
      </c>
      <c r="I1787" s="7" t="s">
        <v>125</v>
      </c>
    </row>
    <row r="1788" ht="15" customHeight="1">
      <c r="A1788" s="8">
        <v>1786</v>
      </c>
      <c r="B1788" s="19">
        <v>0.5008</v>
      </c>
      <c r="C1788" s="19">
        <v>1.012</v>
      </c>
      <c r="D1788" s="17">
        <v>35971.03</v>
      </c>
      <c r="E1788" s="19">
        <v>0.9553</v>
      </c>
      <c r="F1788" s="19">
        <v>0.0953</v>
      </c>
      <c r="G1788" s="17">
        <v>2101053.12</v>
      </c>
      <c r="H1788" s="17">
        <v>2547715.24</v>
      </c>
      <c r="I1788" s="8" t="s">
        <v>125</v>
      </c>
    </row>
    <row r="1789" ht="15" customHeight="1">
      <c r="A1789" s="7">
        <v>1787</v>
      </c>
      <c r="B1789" s="18">
        <v>0.5635</v>
      </c>
      <c r="C1789" s="18">
        <v>1.0377</v>
      </c>
      <c r="D1789" s="16">
        <v>29074.99</v>
      </c>
      <c r="E1789" s="18">
        <v>0.9195</v>
      </c>
      <c r="F1789" s="18">
        <v>0.0246</v>
      </c>
      <c r="G1789" s="16">
        <v>2348762.76</v>
      </c>
      <c r="H1789" s="16">
        <v>2815802.48</v>
      </c>
      <c r="I1789" s="7" t="s">
        <v>125</v>
      </c>
    </row>
    <row r="1790" ht="15" customHeight="1">
      <c r="A1790" s="8">
        <v>1788</v>
      </c>
      <c r="B1790" s="19">
        <v>0.6965</v>
      </c>
      <c r="C1790" s="19">
        <v>1.2508</v>
      </c>
      <c r="D1790" s="17">
        <v>28323.54</v>
      </c>
      <c r="E1790" s="19">
        <v>0.965</v>
      </c>
      <c r="F1790" s="19">
        <v>0.1492</v>
      </c>
      <c r="G1790" s="17">
        <v>5407482.83</v>
      </c>
      <c r="H1790" s="17">
        <v>6471611.74</v>
      </c>
      <c r="I1790" s="8" t="s">
        <v>125</v>
      </c>
    </row>
    <row r="1791" ht="15" customHeight="1">
      <c r="A1791" s="7">
        <v>1789</v>
      </c>
      <c r="B1791" s="18">
        <v>0.3647</v>
      </c>
      <c r="C1791" s="18">
        <v>1.1738</v>
      </c>
      <c r="D1791" s="16">
        <v>27772.45</v>
      </c>
      <c r="E1791" s="18">
        <v>0.9273</v>
      </c>
      <c r="F1791" s="18">
        <v>0.0759</v>
      </c>
      <c r="G1791" s="16">
        <v>1637971.13</v>
      </c>
      <c r="H1791" s="16">
        <v>1995196.77</v>
      </c>
      <c r="I1791" s="7" t="s">
        <v>125</v>
      </c>
    </row>
    <row r="1792" ht="15" customHeight="1">
      <c r="A1792" s="8">
        <v>1790</v>
      </c>
      <c r="B1792" s="19">
        <v>0.6639</v>
      </c>
      <c r="C1792" s="19">
        <v>1.2746</v>
      </c>
      <c r="D1792" s="17">
        <v>26455.9</v>
      </c>
      <c r="E1792" s="19">
        <v>0.8213</v>
      </c>
      <c r="F1792" s="19">
        <v>0.1409</v>
      </c>
      <c r="G1792" s="17">
        <v>4257315.7</v>
      </c>
      <c r="H1792" s="17">
        <v>5106735.99</v>
      </c>
      <c r="I1792" s="8" t="s">
        <v>125</v>
      </c>
    </row>
    <row r="1793" ht="15" customHeight="1">
      <c r="A1793" s="7">
        <v>1791</v>
      </c>
      <c r="B1793" s="18">
        <v>0.3819</v>
      </c>
      <c r="C1793" s="18">
        <v>0.9138</v>
      </c>
      <c r="D1793" s="16">
        <v>23448.91</v>
      </c>
      <c r="E1793" s="18">
        <v>0.8465</v>
      </c>
      <c r="F1793" s="18">
        <v>0.0869</v>
      </c>
      <c r="G1793" s="16">
        <v>1075548.34</v>
      </c>
      <c r="H1793" s="16">
        <v>1334461.7</v>
      </c>
      <c r="I1793" s="7" t="s">
        <v>125</v>
      </c>
    </row>
    <row r="1794" ht="15" customHeight="1">
      <c r="A1794" s="8">
        <v>1792</v>
      </c>
      <c r="B1794" s="19">
        <v>0.5809</v>
      </c>
      <c r="C1794" s="19">
        <v>1.1104</v>
      </c>
      <c r="D1794" s="17">
        <v>25202.22</v>
      </c>
      <c r="E1794" s="19">
        <v>0.8782</v>
      </c>
      <c r="F1794" s="19">
        <v>0.1116</v>
      </c>
      <c r="G1794" s="17">
        <v>3128182.06</v>
      </c>
      <c r="H1794" s="17">
        <v>3761178.36</v>
      </c>
      <c r="I1794" s="8" t="s">
        <v>125</v>
      </c>
    </row>
    <row r="1795" ht="15" customHeight="1">
      <c r="A1795" s="7">
        <v>1793</v>
      </c>
      <c r="B1795" s="18">
        <v>0.4883</v>
      </c>
      <c r="C1795" s="18">
        <v>1.1017</v>
      </c>
      <c r="D1795" s="16">
        <v>25045.56</v>
      </c>
      <c r="E1795" s="18">
        <v>0.914</v>
      </c>
      <c r="F1795" s="18">
        <v>0.1165</v>
      </c>
      <c r="G1795" s="16">
        <v>2594659.4</v>
      </c>
      <c r="H1795" s="16">
        <v>3133161.44</v>
      </c>
      <c r="I1795" s="7" t="s">
        <v>125</v>
      </c>
    </row>
    <row r="1796" ht="15" customHeight="1">
      <c r="A1796" s="8">
        <v>1794</v>
      </c>
      <c r="B1796" s="19">
        <v>0.469</v>
      </c>
      <c r="C1796" s="19">
        <v>1.3017</v>
      </c>
      <c r="D1796" s="17">
        <v>26682.08</v>
      </c>
      <c r="E1796" s="19">
        <v>0.9438</v>
      </c>
      <c r="F1796" s="19">
        <v>0.0642</v>
      </c>
      <c r="G1796" s="17">
        <v>2891978.45</v>
      </c>
      <c r="H1796" s="17">
        <v>3466624.48</v>
      </c>
      <c r="I1796" s="8" t="s">
        <v>125</v>
      </c>
    </row>
    <row r="1797" ht="15" customHeight="1">
      <c r="A1797" s="7">
        <v>1795</v>
      </c>
      <c r="B1797" s="18">
        <v>0.6818</v>
      </c>
      <c r="C1797" s="18">
        <v>1.1506</v>
      </c>
      <c r="D1797" s="16">
        <v>34018.68</v>
      </c>
      <c r="E1797" s="18">
        <v>0.8637</v>
      </c>
      <c r="F1797" s="18">
        <v>0.0702</v>
      </c>
      <c r="G1797" s="16">
        <v>3419468.69</v>
      </c>
      <c r="H1797" s="16">
        <v>4090632.43</v>
      </c>
      <c r="I1797" s="7" t="s">
        <v>125</v>
      </c>
    </row>
    <row r="1798" ht="15" customHeight="1">
      <c r="A1798" s="8">
        <v>1796</v>
      </c>
      <c r="B1798" s="19">
        <v>0.4834</v>
      </c>
      <c r="C1798" s="19">
        <v>0.4988</v>
      </c>
      <c r="D1798" s="17">
        <v>31895.47</v>
      </c>
      <c r="E1798" s="19">
        <v>0.9069</v>
      </c>
      <c r="F1798" s="19">
        <v>0.0769</v>
      </c>
      <c r="G1798" s="17">
        <v>236986.86</v>
      </c>
      <c r="H1798" s="17">
        <v>347506.13</v>
      </c>
      <c r="I1798" s="8" t="s">
        <v>125</v>
      </c>
    </row>
    <row r="1799" ht="15" customHeight="1">
      <c r="A1799" s="7">
        <v>1797</v>
      </c>
      <c r="B1799" s="18">
        <v>0.7252</v>
      </c>
      <c r="C1799" s="18">
        <v>1.0702</v>
      </c>
      <c r="D1799" s="16">
        <v>31557.37</v>
      </c>
      <c r="E1799" s="18">
        <v>0.9312</v>
      </c>
      <c r="F1799" s="18">
        <v>0.0403</v>
      </c>
      <c r="G1799" s="16">
        <v>3613073.21</v>
      </c>
      <c r="H1799" s="16">
        <v>4305045.91</v>
      </c>
      <c r="I1799" s="7" t="s">
        <v>125</v>
      </c>
    </row>
    <row r="1800" ht="15" customHeight="1">
      <c r="A1800" s="8">
        <v>1798</v>
      </c>
      <c r="B1800" s="19">
        <v>0.5129</v>
      </c>
      <c r="C1800" s="19">
        <v>0.9562</v>
      </c>
      <c r="D1800" s="17">
        <v>18181.74</v>
      </c>
      <c r="E1800" s="19">
        <v>0.8525</v>
      </c>
      <c r="F1800" s="19">
        <v>0.0749</v>
      </c>
      <c r="G1800" s="17">
        <v>2081077.84</v>
      </c>
      <c r="H1800" s="17">
        <v>2514421.13</v>
      </c>
      <c r="I1800" s="8" t="s">
        <v>125</v>
      </c>
    </row>
    <row r="1801" ht="15" customHeight="1">
      <c r="A1801" s="7">
        <v>1799</v>
      </c>
      <c r="B1801" s="18">
        <v>0.565</v>
      </c>
      <c r="C1801" s="18">
        <v>0.857</v>
      </c>
      <c r="D1801" s="16">
        <v>28847.93</v>
      </c>
      <c r="E1801" s="18">
        <v>0.8819</v>
      </c>
      <c r="F1801" s="18">
        <v>0.0844</v>
      </c>
      <c r="G1801" s="16">
        <v>1855334.22</v>
      </c>
      <c r="H1801" s="16">
        <v>2253463.07</v>
      </c>
      <c r="I1801" s="7" t="s">
        <v>125</v>
      </c>
    </row>
    <row r="1802" ht="15" customHeight="1">
      <c r="A1802" s="8">
        <v>1800</v>
      </c>
      <c r="B1802" s="19">
        <v>0.4982</v>
      </c>
      <c r="C1802" s="19">
        <v>1.2151</v>
      </c>
      <c r="D1802" s="17">
        <v>26659.81</v>
      </c>
      <c r="E1802" s="19">
        <v>0.8102</v>
      </c>
      <c r="F1802" s="19">
        <v>0.1249</v>
      </c>
      <c r="G1802" s="17">
        <v>2576691.9</v>
      </c>
      <c r="H1802" s="17">
        <v>3115059.81</v>
      </c>
      <c r="I1802" s="8" t="s">
        <v>125</v>
      </c>
    </row>
    <row r="1803" ht="15" customHeight="1">
      <c r="A1803" s="7">
        <v>1801</v>
      </c>
      <c r="B1803" s="18">
        <v>0.5584</v>
      </c>
      <c r="C1803" s="18">
        <v>0.8334</v>
      </c>
      <c r="D1803" s="16">
        <v>28920.67</v>
      </c>
      <c r="E1803" s="18">
        <v>0.9236</v>
      </c>
      <c r="F1803" s="18">
        <v>0.1065</v>
      </c>
      <c r="G1803" s="16">
        <v>1965798.34</v>
      </c>
      <c r="H1803" s="16">
        <v>2389519.03</v>
      </c>
      <c r="I1803" s="7" t="s">
        <v>125</v>
      </c>
    </row>
    <row r="1804" ht="15" customHeight="1">
      <c r="A1804" s="8">
        <v>1802</v>
      </c>
      <c r="B1804" s="19">
        <v>0.5519</v>
      </c>
      <c r="C1804" s="19">
        <v>1.0468</v>
      </c>
      <c r="D1804" s="17">
        <v>26550.64</v>
      </c>
      <c r="E1804" s="19">
        <v>0.8743</v>
      </c>
      <c r="F1804" s="19">
        <v>0.0799</v>
      </c>
      <c r="G1804" s="17">
        <v>2470378.18</v>
      </c>
      <c r="H1804" s="17">
        <v>2975789.17</v>
      </c>
      <c r="I1804" s="8" t="s">
        <v>125</v>
      </c>
    </row>
    <row r="1805" ht="15" customHeight="1">
      <c r="A1805" s="7">
        <v>1803</v>
      </c>
      <c r="B1805" s="18">
        <v>0.7423</v>
      </c>
      <c r="C1805" s="18">
        <v>1.1097</v>
      </c>
      <c r="D1805" s="16">
        <v>26145.69</v>
      </c>
      <c r="E1805" s="18">
        <v>0.9555</v>
      </c>
      <c r="F1805" s="18">
        <v>0.0648</v>
      </c>
      <c r="G1805" s="16">
        <v>4399078.01</v>
      </c>
      <c r="H1805" s="16">
        <v>5238875.98</v>
      </c>
      <c r="I1805" s="7" t="s">
        <v>125</v>
      </c>
    </row>
    <row r="1806" ht="15" customHeight="1">
      <c r="A1806" s="8">
        <v>1804</v>
      </c>
      <c r="B1806" s="19">
        <v>0.4754</v>
      </c>
      <c r="C1806" s="19">
        <v>1.2883</v>
      </c>
      <c r="D1806" s="17">
        <v>29819.58</v>
      </c>
      <c r="E1806" s="19">
        <v>0.8717</v>
      </c>
      <c r="F1806" s="19">
        <v>0.0921</v>
      </c>
      <c r="G1806" s="17">
        <v>2638763.08</v>
      </c>
      <c r="H1806" s="17">
        <v>3178742.98</v>
      </c>
      <c r="I1806" s="8" t="s">
        <v>125</v>
      </c>
    </row>
    <row r="1807" ht="15" customHeight="1">
      <c r="A1807" s="7">
        <v>1805</v>
      </c>
      <c r="B1807" s="18">
        <v>0.613</v>
      </c>
      <c r="C1807" s="18">
        <v>1.4131</v>
      </c>
      <c r="D1807" s="16">
        <v>20892.02</v>
      </c>
      <c r="E1807" s="18">
        <v>0.8316</v>
      </c>
      <c r="F1807" s="18">
        <v>0.135</v>
      </c>
      <c r="G1807" s="16">
        <v>4584096.02</v>
      </c>
      <c r="H1807" s="16">
        <v>5488331.26</v>
      </c>
      <c r="I1807" s="7" t="s">
        <v>125</v>
      </c>
    </row>
    <row r="1808" ht="15" customHeight="1">
      <c r="A1808" s="8">
        <v>1806</v>
      </c>
      <c r="B1808" s="19">
        <v>0.3966</v>
      </c>
      <c r="C1808" s="19">
        <v>0.784</v>
      </c>
      <c r="D1808" s="17">
        <v>27669.71</v>
      </c>
      <c r="E1808" s="19">
        <v>0.9248</v>
      </c>
      <c r="F1808" s="19">
        <v>0.1636</v>
      </c>
      <c r="G1808" s="17">
        <v>1108248.5</v>
      </c>
      <c r="H1808" s="17">
        <v>1388503.36</v>
      </c>
      <c r="I1808" s="8" t="s">
        <v>125</v>
      </c>
    </row>
    <row r="1809" ht="15" customHeight="1">
      <c r="A1809" s="7">
        <v>1807</v>
      </c>
      <c r="B1809" s="18">
        <v>0.4794</v>
      </c>
      <c r="C1809" s="18">
        <v>0.9244</v>
      </c>
      <c r="D1809" s="16">
        <v>26851.97</v>
      </c>
      <c r="E1809" s="18">
        <v>0.9239</v>
      </c>
      <c r="F1809" s="18">
        <v>0.0915</v>
      </c>
      <c r="G1809" s="16">
        <v>1817416.07</v>
      </c>
      <c r="H1809" s="16">
        <v>2210156.98</v>
      </c>
      <c r="I1809" s="7" t="s">
        <v>125</v>
      </c>
    </row>
    <row r="1810" ht="15" customHeight="1">
      <c r="A1810" s="8">
        <v>1808</v>
      </c>
      <c r="B1810" s="19">
        <v>0.5354</v>
      </c>
      <c r="C1810" s="19">
        <v>1.1351</v>
      </c>
      <c r="D1810" s="17">
        <v>26908.15</v>
      </c>
      <c r="E1810" s="19">
        <v>0.8689</v>
      </c>
      <c r="F1810" s="19">
        <v>0.1149</v>
      </c>
      <c r="G1810" s="17">
        <v>2803958.84</v>
      </c>
      <c r="H1810" s="17">
        <v>3380241.17</v>
      </c>
      <c r="I1810" s="8" t="s">
        <v>125</v>
      </c>
    </row>
    <row r="1811" ht="15" customHeight="1">
      <c r="A1811" s="7">
        <v>1809</v>
      </c>
      <c r="B1811" s="18">
        <v>0.4863</v>
      </c>
      <c r="C1811" s="18">
        <v>0.8133</v>
      </c>
      <c r="D1811" s="16">
        <v>21779.13</v>
      </c>
      <c r="E1811" s="18">
        <v>0.8943</v>
      </c>
      <c r="F1811" s="18">
        <v>0.1339</v>
      </c>
      <c r="G1811" s="16">
        <v>1714163.8</v>
      </c>
      <c r="H1811" s="16">
        <v>2096866.69</v>
      </c>
      <c r="I1811" s="7" t="s">
        <v>125</v>
      </c>
    </row>
    <row r="1812" ht="15" customHeight="1">
      <c r="A1812" s="8">
        <v>1810</v>
      </c>
      <c r="B1812" s="19">
        <v>0.6289</v>
      </c>
      <c r="C1812" s="19">
        <v>0.8404</v>
      </c>
      <c r="D1812" s="17">
        <v>28021.09</v>
      </c>
      <c r="E1812" s="19">
        <v>0.8782</v>
      </c>
      <c r="F1812" s="19">
        <v>0.1458</v>
      </c>
      <c r="G1812" s="17">
        <v>2432043.26</v>
      </c>
      <c r="H1812" s="17">
        <v>2950896.53</v>
      </c>
      <c r="I1812" s="8" t="s">
        <v>125</v>
      </c>
    </row>
    <row r="1813" ht="15" customHeight="1">
      <c r="A1813" s="7">
        <v>1811</v>
      </c>
      <c r="B1813" s="18">
        <v>0.3908</v>
      </c>
      <c r="C1813" s="18">
        <v>0.9932</v>
      </c>
      <c r="D1813" s="16">
        <v>31576.82</v>
      </c>
      <c r="E1813" s="18">
        <v>0.913</v>
      </c>
      <c r="F1813" s="18">
        <v>0.1358</v>
      </c>
      <c r="G1813" s="16">
        <v>1424149.15</v>
      </c>
      <c r="H1813" s="16">
        <v>1758080.71</v>
      </c>
      <c r="I1813" s="7" t="s">
        <v>125</v>
      </c>
    </row>
    <row r="1814" ht="15" customHeight="1">
      <c r="A1814" s="8">
        <v>1812</v>
      </c>
      <c r="B1814" s="19">
        <v>0.6088</v>
      </c>
      <c r="C1814" s="19">
        <v>0.8484</v>
      </c>
      <c r="D1814" s="17">
        <v>32651.21</v>
      </c>
      <c r="E1814" s="19">
        <v>0.8431</v>
      </c>
      <c r="F1814" s="19">
        <v>0.0824</v>
      </c>
      <c r="G1814" s="17">
        <v>1791296.01</v>
      </c>
      <c r="H1814" s="17">
        <v>2178401.19</v>
      </c>
      <c r="I1814" s="8" t="s">
        <v>125</v>
      </c>
    </row>
    <row r="1815" ht="15" customHeight="1">
      <c r="A1815" s="7">
        <v>1813</v>
      </c>
      <c r="B1815" s="18">
        <v>0.697</v>
      </c>
      <c r="C1815" s="18">
        <v>1.0645</v>
      </c>
      <c r="D1815" s="16">
        <v>29091.59</v>
      </c>
      <c r="E1815" s="18">
        <v>0.9384</v>
      </c>
      <c r="F1815" s="18">
        <v>0.0696</v>
      </c>
      <c r="G1815" s="16">
        <v>3699848.46</v>
      </c>
      <c r="H1815" s="16">
        <v>4419239</v>
      </c>
      <c r="I1815" s="7" t="s">
        <v>125</v>
      </c>
    </row>
    <row r="1816" ht="15" customHeight="1">
      <c r="A1816" s="8">
        <v>1814</v>
      </c>
      <c r="B1816" s="19">
        <v>0.6786</v>
      </c>
      <c r="C1816" s="19">
        <v>0.9873</v>
      </c>
      <c r="D1816" s="17">
        <v>17022.04</v>
      </c>
      <c r="E1816" s="19">
        <v>0.8978</v>
      </c>
      <c r="F1816" s="19">
        <v>0.1983</v>
      </c>
      <c r="G1816" s="17">
        <v>4176129.09</v>
      </c>
      <c r="H1816" s="17">
        <v>5030102.72</v>
      </c>
      <c r="I1816" s="8" t="s">
        <v>125</v>
      </c>
    </row>
    <row r="1817" ht="15" customHeight="1">
      <c r="A1817" s="7">
        <v>1815</v>
      </c>
      <c r="B1817" s="18">
        <v>0.5192</v>
      </c>
      <c r="C1817" s="18">
        <v>0.9194</v>
      </c>
      <c r="D1817" s="16">
        <v>23883.21</v>
      </c>
      <c r="E1817" s="18">
        <v>0.9537</v>
      </c>
      <c r="F1817" s="18">
        <v>0.0928</v>
      </c>
      <c r="G1817" s="16">
        <v>2249474.6</v>
      </c>
      <c r="H1817" s="16">
        <v>2718807.37</v>
      </c>
      <c r="I1817" s="7" t="s">
        <v>125</v>
      </c>
    </row>
    <row r="1818" ht="15" customHeight="1">
      <c r="A1818" s="8">
        <v>1816</v>
      </c>
      <c r="B1818" s="19">
        <v>0.4565</v>
      </c>
      <c r="C1818" s="19">
        <v>0.9256</v>
      </c>
      <c r="D1818" s="17">
        <v>22284.47</v>
      </c>
      <c r="E1818" s="19">
        <v>0.8371</v>
      </c>
      <c r="F1818" s="19">
        <v>0.0773</v>
      </c>
      <c r="G1818" s="17">
        <v>1501903.07</v>
      </c>
      <c r="H1818" s="17">
        <v>1834237.77</v>
      </c>
      <c r="I1818" s="8" t="s">
        <v>125</v>
      </c>
    </row>
    <row r="1819" ht="15" customHeight="1">
      <c r="A1819" s="7">
        <v>1817</v>
      </c>
      <c r="B1819" s="18">
        <v>0.3654</v>
      </c>
      <c r="C1819" s="18">
        <v>1.2919</v>
      </c>
      <c r="D1819" s="16">
        <v>25697.09</v>
      </c>
      <c r="E1819" s="18">
        <v>0.861</v>
      </c>
      <c r="F1819" s="18">
        <v>0.0937</v>
      </c>
      <c r="G1819" s="16">
        <v>1839933.84</v>
      </c>
      <c r="H1819" s="16">
        <v>2236953.24</v>
      </c>
      <c r="I1819" s="7" t="s">
        <v>125</v>
      </c>
    </row>
    <row r="1820" ht="15" customHeight="1">
      <c r="A1820" s="8">
        <v>1818</v>
      </c>
      <c r="B1820" s="19">
        <v>0.446</v>
      </c>
      <c r="C1820" s="19">
        <v>0.6826</v>
      </c>
      <c r="D1820" s="17">
        <v>35679.01</v>
      </c>
      <c r="E1820" s="19">
        <v>0.9172</v>
      </c>
      <c r="F1820" s="19">
        <v>0.0949</v>
      </c>
      <c r="G1820" s="17">
        <v>603062.77</v>
      </c>
      <c r="H1820" s="17">
        <v>782264.19</v>
      </c>
      <c r="I1820" s="8" t="s">
        <v>125</v>
      </c>
    </row>
    <row r="1821" ht="15" customHeight="1">
      <c r="A1821" s="7">
        <v>1819</v>
      </c>
      <c r="B1821" s="18">
        <v>0.5986</v>
      </c>
      <c r="C1821" s="18">
        <v>0.637</v>
      </c>
      <c r="D1821" s="16">
        <v>26351.57</v>
      </c>
      <c r="E1821" s="18">
        <v>0.9362</v>
      </c>
      <c r="F1821" s="18">
        <v>0.0903</v>
      </c>
      <c r="G1821" s="16">
        <v>1445441.95</v>
      </c>
      <c r="H1821" s="16">
        <v>1771544.2</v>
      </c>
      <c r="I1821" s="7" t="s">
        <v>125</v>
      </c>
    </row>
    <row r="1822" ht="15" customHeight="1">
      <c r="A1822" s="8">
        <v>1820</v>
      </c>
      <c r="B1822" s="19">
        <v>0.6454</v>
      </c>
      <c r="C1822" s="19">
        <v>1.186</v>
      </c>
      <c r="D1822" s="17">
        <v>30343.91</v>
      </c>
      <c r="E1822" s="19">
        <v>0.9266</v>
      </c>
      <c r="F1822" s="19">
        <v>0.0014</v>
      </c>
      <c r="G1822" s="17">
        <v>3307843.29</v>
      </c>
      <c r="H1822" s="17">
        <v>3930603.58</v>
      </c>
      <c r="I1822" s="8" t="s">
        <v>125</v>
      </c>
    </row>
    <row r="1823" ht="15" customHeight="1">
      <c r="A1823" s="7">
        <v>1821</v>
      </c>
      <c r="B1823" s="18">
        <v>0.487</v>
      </c>
      <c r="C1823" s="18">
        <v>1.0597</v>
      </c>
      <c r="D1823" s="16">
        <v>25598.38</v>
      </c>
      <c r="E1823" s="18">
        <v>0.8716</v>
      </c>
      <c r="F1823" s="18">
        <v>0.0793</v>
      </c>
      <c r="G1823" s="16">
        <v>2099012.51</v>
      </c>
      <c r="H1823" s="16">
        <v>2538262.21</v>
      </c>
      <c r="I1823" s="7" t="s">
        <v>125</v>
      </c>
    </row>
    <row r="1824" ht="15" customHeight="1">
      <c r="A1824" s="8">
        <v>1822</v>
      </c>
      <c r="B1824" s="19">
        <v>0.3546</v>
      </c>
      <c r="C1824" s="19">
        <v>0.9404</v>
      </c>
      <c r="D1824" s="17">
        <v>34529.56</v>
      </c>
      <c r="E1824" s="19">
        <v>0.898</v>
      </c>
      <c r="F1824" s="19">
        <v>0.1599</v>
      </c>
      <c r="G1824" s="17">
        <v>981481.43</v>
      </c>
      <c r="H1824" s="17">
        <v>1240637.96</v>
      </c>
      <c r="I1824" s="8" t="s">
        <v>125</v>
      </c>
    </row>
    <row r="1825" ht="15" customHeight="1">
      <c r="A1825" s="7">
        <v>1823</v>
      </c>
      <c r="B1825" s="18">
        <v>0.5914</v>
      </c>
      <c r="C1825" s="18">
        <v>1.224</v>
      </c>
      <c r="D1825" s="16">
        <v>16893.04</v>
      </c>
      <c r="E1825" s="18">
        <v>0.8228</v>
      </c>
      <c r="F1825" s="18">
        <v>0.1338</v>
      </c>
      <c r="G1825" s="16">
        <v>3734141.85</v>
      </c>
      <c r="H1825" s="16">
        <v>4482018.98</v>
      </c>
      <c r="I1825" s="7" t="s">
        <v>125</v>
      </c>
    </row>
    <row r="1826" ht="15" customHeight="1">
      <c r="A1826" s="8">
        <v>1824</v>
      </c>
      <c r="B1826" s="19">
        <v>0.6028</v>
      </c>
      <c r="C1826" s="19">
        <v>0.8712</v>
      </c>
      <c r="D1826" s="17">
        <v>28188.29</v>
      </c>
      <c r="E1826" s="19">
        <v>0.9415</v>
      </c>
      <c r="F1826" s="19">
        <v>0.1089</v>
      </c>
      <c r="G1826" s="17">
        <v>2482050.29</v>
      </c>
      <c r="H1826" s="17">
        <v>2998923.55</v>
      </c>
      <c r="I1826" s="8" t="s">
        <v>125</v>
      </c>
    </row>
    <row r="1827" ht="15" customHeight="1">
      <c r="A1827" s="7">
        <v>1825</v>
      </c>
      <c r="B1827" s="18">
        <v>0.6601</v>
      </c>
      <c r="C1827" s="18">
        <v>1.3046</v>
      </c>
      <c r="D1827" s="16">
        <v>27374.64</v>
      </c>
      <c r="E1827" s="18">
        <v>0.9334</v>
      </c>
      <c r="F1827" s="18">
        <v>0.1646</v>
      </c>
      <c r="G1827" s="16">
        <v>5272160.62</v>
      </c>
      <c r="H1827" s="16">
        <v>6319120.49</v>
      </c>
      <c r="I1827" s="7" t="s">
        <v>125</v>
      </c>
    </row>
    <row r="1828" ht="15" customHeight="1">
      <c r="A1828" s="8">
        <v>1826</v>
      </c>
      <c r="B1828" s="19">
        <v>0.4586</v>
      </c>
      <c r="C1828" s="19">
        <v>1.1217</v>
      </c>
      <c r="D1828" s="17">
        <v>30521.37</v>
      </c>
      <c r="E1828" s="19">
        <v>0.8222</v>
      </c>
      <c r="F1828" s="19">
        <v>0.0887</v>
      </c>
      <c r="G1828" s="17">
        <v>1792011.53</v>
      </c>
      <c r="H1828" s="17">
        <v>2180404.08</v>
      </c>
      <c r="I1828" s="8" t="s">
        <v>125</v>
      </c>
    </row>
    <row r="1829" ht="15" customHeight="1">
      <c r="A1829" s="7">
        <v>1827</v>
      </c>
      <c r="B1829" s="18">
        <v>0.6815</v>
      </c>
      <c r="C1829" s="18">
        <v>0.9677</v>
      </c>
      <c r="D1829" s="16">
        <v>31331.59</v>
      </c>
      <c r="E1829" s="18">
        <v>0.8995</v>
      </c>
      <c r="F1829" s="18">
        <v>0.0906</v>
      </c>
      <c r="G1829" s="16">
        <v>3017956.91</v>
      </c>
      <c r="H1829" s="16">
        <v>3625326.23</v>
      </c>
      <c r="I1829" s="7" t="s">
        <v>125</v>
      </c>
    </row>
    <row r="1830" ht="15" customHeight="1">
      <c r="A1830" s="8">
        <v>1828</v>
      </c>
      <c r="B1830" s="19">
        <v>0.3229</v>
      </c>
      <c r="C1830" s="19">
        <v>1.1142</v>
      </c>
      <c r="D1830" s="17">
        <v>24180.79</v>
      </c>
      <c r="E1830" s="19">
        <v>0.887</v>
      </c>
      <c r="F1830" s="19">
        <v>0.1318</v>
      </c>
      <c r="G1830" s="17">
        <v>1366367.5</v>
      </c>
      <c r="H1830" s="17">
        <v>1686341.87</v>
      </c>
      <c r="I1830" s="8" t="s">
        <v>125</v>
      </c>
    </row>
    <row r="1831" ht="15" customHeight="1">
      <c r="A1831" s="7">
        <v>1829</v>
      </c>
      <c r="B1831" s="18">
        <v>0.7078</v>
      </c>
      <c r="C1831" s="18">
        <v>1.1313</v>
      </c>
      <c r="D1831" s="16">
        <v>34965.11</v>
      </c>
      <c r="E1831" s="18">
        <v>0.8811</v>
      </c>
      <c r="F1831" s="18">
        <v>0.0273</v>
      </c>
      <c r="G1831" s="16">
        <v>3306373.13</v>
      </c>
      <c r="H1831" s="16">
        <v>3939956.33</v>
      </c>
      <c r="I1831" s="7" t="s">
        <v>125</v>
      </c>
    </row>
    <row r="1832" ht="15" customHeight="1">
      <c r="A1832" s="8">
        <v>1830</v>
      </c>
      <c r="B1832" s="19">
        <v>0.4443</v>
      </c>
      <c r="C1832" s="19">
        <v>1.4342</v>
      </c>
      <c r="D1832" s="17">
        <v>26783.75</v>
      </c>
      <c r="E1832" s="19">
        <v>0.9025</v>
      </c>
      <c r="F1832" s="19">
        <v>0.1001</v>
      </c>
      <c r="G1832" s="17">
        <v>3078813.76</v>
      </c>
      <c r="H1832" s="17">
        <v>3699323.12</v>
      </c>
      <c r="I1832" s="8" t="s">
        <v>125</v>
      </c>
    </row>
    <row r="1833" ht="15" customHeight="1">
      <c r="A1833" s="7">
        <v>1831</v>
      </c>
      <c r="B1833" s="18">
        <v>0.5986</v>
      </c>
      <c r="C1833" s="18">
        <v>1.4305</v>
      </c>
      <c r="D1833" s="16">
        <v>24450.97</v>
      </c>
      <c r="E1833" s="18">
        <v>0.9029</v>
      </c>
      <c r="F1833" s="18">
        <v>0.2018</v>
      </c>
      <c r="G1833" s="16">
        <v>5417995.8</v>
      </c>
      <c r="H1833" s="16">
        <v>6509479.46</v>
      </c>
      <c r="I1833" s="7" t="s">
        <v>125</v>
      </c>
    </row>
    <row r="1834" ht="15" customHeight="1">
      <c r="A1834" s="8">
        <v>1832</v>
      </c>
      <c r="B1834" s="19">
        <v>0.5761</v>
      </c>
      <c r="C1834" s="19">
        <v>1.144</v>
      </c>
      <c r="D1834" s="17">
        <v>26244.84</v>
      </c>
      <c r="E1834" s="19">
        <v>0.9027</v>
      </c>
      <c r="F1834" s="19">
        <v>0.1106</v>
      </c>
      <c r="G1834" s="17">
        <v>3303376.39</v>
      </c>
      <c r="H1834" s="17">
        <v>3967806.93</v>
      </c>
      <c r="I1834" s="8" t="s">
        <v>125</v>
      </c>
    </row>
    <row r="1835" ht="15" customHeight="1">
      <c r="A1835" s="7">
        <v>1833</v>
      </c>
      <c r="B1835" s="18">
        <v>0.5525</v>
      </c>
      <c r="C1835" s="18">
        <v>0.8573</v>
      </c>
      <c r="D1835" s="16">
        <v>15971.08</v>
      </c>
      <c r="E1835" s="18">
        <v>0.8418</v>
      </c>
      <c r="F1835" s="18">
        <v>0.0362</v>
      </c>
      <c r="G1835" s="16">
        <v>1865612.5</v>
      </c>
      <c r="H1835" s="16">
        <v>2251296.63</v>
      </c>
      <c r="I1835" s="7" t="s">
        <v>125</v>
      </c>
    </row>
    <row r="1836" ht="15" customHeight="1">
      <c r="A1836" s="8">
        <v>1834</v>
      </c>
      <c r="B1836" s="19">
        <v>0.7082</v>
      </c>
      <c r="C1836" s="19">
        <v>0.9127</v>
      </c>
      <c r="D1836" s="17">
        <v>29698.23</v>
      </c>
      <c r="E1836" s="19">
        <v>0.8315</v>
      </c>
      <c r="F1836" s="19">
        <v>0.1363</v>
      </c>
      <c r="G1836" s="17">
        <v>2903459.13</v>
      </c>
      <c r="H1836" s="17">
        <v>3505824.75</v>
      </c>
      <c r="I1836" s="8" t="s">
        <v>125</v>
      </c>
    </row>
    <row r="1837" ht="15" customHeight="1">
      <c r="A1837" s="7">
        <v>1835</v>
      </c>
      <c r="B1837" s="18">
        <v>0.6157</v>
      </c>
      <c r="C1837" s="18">
        <v>0.7456</v>
      </c>
      <c r="D1837" s="16">
        <v>30397.46</v>
      </c>
      <c r="E1837" s="18">
        <v>0.9357</v>
      </c>
      <c r="F1837" s="18">
        <v>0.1317</v>
      </c>
      <c r="G1837" s="16">
        <v>2025974.58</v>
      </c>
      <c r="H1837" s="16">
        <v>2467799.32</v>
      </c>
      <c r="I1837" s="7" t="s">
        <v>125</v>
      </c>
    </row>
    <row r="1838" ht="15" customHeight="1">
      <c r="A1838" s="8">
        <v>1836</v>
      </c>
      <c r="B1838" s="19">
        <v>0.4996</v>
      </c>
      <c r="C1838" s="19">
        <v>1.3142</v>
      </c>
      <c r="D1838" s="17">
        <v>30604.1</v>
      </c>
      <c r="E1838" s="19">
        <v>0.9183</v>
      </c>
      <c r="F1838" s="19">
        <v>0.1741</v>
      </c>
      <c r="G1838" s="17">
        <v>3616695.81</v>
      </c>
      <c r="H1838" s="17">
        <v>4363917.05</v>
      </c>
      <c r="I1838" s="8" t="s">
        <v>125</v>
      </c>
    </row>
    <row r="1839" ht="15" customHeight="1">
      <c r="A1839" s="7">
        <v>1837</v>
      </c>
      <c r="B1839" s="18">
        <v>0.7837</v>
      </c>
      <c r="C1839" s="18">
        <v>1.3186</v>
      </c>
      <c r="D1839" s="16">
        <v>23630.51</v>
      </c>
      <c r="E1839" s="18">
        <v>0.7992</v>
      </c>
      <c r="F1839" s="18">
        <v>0.1682</v>
      </c>
      <c r="G1839" s="16">
        <v>5596574.43</v>
      </c>
      <c r="H1839" s="16">
        <v>6703570.68</v>
      </c>
      <c r="I1839" s="7" t="s">
        <v>125</v>
      </c>
    </row>
    <row r="1840" ht="15" customHeight="1">
      <c r="A1840" s="8">
        <v>1838</v>
      </c>
      <c r="B1840" s="19">
        <v>0.597</v>
      </c>
      <c r="C1840" s="19">
        <v>0.7357</v>
      </c>
      <c r="D1840" s="17">
        <v>25841.95</v>
      </c>
      <c r="E1840" s="19">
        <v>0.7998</v>
      </c>
      <c r="F1840" s="19">
        <v>0.1441</v>
      </c>
      <c r="G1840" s="17">
        <v>1606892.87</v>
      </c>
      <c r="H1840" s="17">
        <v>1973847.35</v>
      </c>
      <c r="I1840" s="8" t="s">
        <v>125</v>
      </c>
    </row>
    <row r="1841" ht="15" customHeight="1">
      <c r="A1841" s="7">
        <v>1839</v>
      </c>
      <c r="B1841" s="18">
        <v>0.5154</v>
      </c>
      <c r="C1841" s="18">
        <v>1.1235</v>
      </c>
      <c r="D1841" s="16">
        <v>31464.17</v>
      </c>
      <c r="E1841" s="18">
        <v>0.8877</v>
      </c>
      <c r="F1841" s="18">
        <v>0.1302</v>
      </c>
      <c r="G1841" s="16">
        <v>2635833.92</v>
      </c>
      <c r="H1841" s="16">
        <v>3188206.1</v>
      </c>
      <c r="I1841" s="7" t="s">
        <v>125</v>
      </c>
    </row>
    <row r="1842" ht="15" customHeight="1">
      <c r="A1842" s="8">
        <v>1840</v>
      </c>
      <c r="B1842" s="19">
        <v>0.5916</v>
      </c>
      <c r="C1842" s="19">
        <v>0.9977</v>
      </c>
      <c r="D1842" s="17">
        <v>25901.23</v>
      </c>
      <c r="E1842" s="19">
        <v>0.8337</v>
      </c>
      <c r="F1842" s="19">
        <v>0.1192</v>
      </c>
      <c r="G1842" s="17">
        <v>2584452.11</v>
      </c>
      <c r="H1842" s="17">
        <v>3122225.97</v>
      </c>
      <c r="I1842" s="8" t="s">
        <v>125</v>
      </c>
    </row>
    <row r="1843" ht="15" customHeight="1">
      <c r="A1843" s="7">
        <v>1841</v>
      </c>
      <c r="B1843" s="18">
        <v>0.5095</v>
      </c>
      <c r="C1843" s="18">
        <v>1.1482</v>
      </c>
      <c r="D1843" s="16">
        <v>28462.67</v>
      </c>
      <c r="E1843" s="18">
        <v>0.8311</v>
      </c>
      <c r="F1843" s="18">
        <v>0.1175</v>
      </c>
      <c r="G1843" s="16">
        <v>2453245</v>
      </c>
      <c r="H1843" s="16">
        <v>2967636.27</v>
      </c>
      <c r="I1843" s="7" t="s">
        <v>125</v>
      </c>
    </row>
    <row r="1844" ht="15" customHeight="1">
      <c r="A1844" s="8">
        <v>1842</v>
      </c>
      <c r="B1844" s="19">
        <v>0.5255</v>
      </c>
      <c r="C1844" s="19">
        <v>0.8726</v>
      </c>
      <c r="D1844" s="17">
        <v>21303.8</v>
      </c>
      <c r="E1844" s="19">
        <v>0.9501</v>
      </c>
      <c r="F1844" s="19">
        <v>0.1204</v>
      </c>
      <c r="G1844" s="17">
        <v>2303438.59</v>
      </c>
      <c r="H1844" s="17">
        <v>2789366.61</v>
      </c>
      <c r="I1844" s="8" t="s">
        <v>125</v>
      </c>
    </row>
    <row r="1845" ht="15" customHeight="1">
      <c r="A1845" s="7">
        <v>1843</v>
      </c>
      <c r="B1845" s="18">
        <v>0.6418</v>
      </c>
      <c r="C1845" s="18">
        <v>1.0094</v>
      </c>
      <c r="D1845" s="16">
        <v>28451.16</v>
      </c>
      <c r="E1845" s="18">
        <v>0.8596</v>
      </c>
      <c r="F1845" s="18">
        <v>0.0975</v>
      </c>
      <c r="G1845" s="16">
        <v>2878832.68</v>
      </c>
      <c r="H1845" s="16">
        <v>3463130.54</v>
      </c>
      <c r="I1845" s="7" t="s">
        <v>125</v>
      </c>
    </row>
    <row r="1846" ht="15" customHeight="1">
      <c r="A1846" s="8">
        <v>1844</v>
      </c>
      <c r="B1846" s="19">
        <v>0.6131</v>
      </c>
      <c r="C1846" s="19">
        <v>1.112</v>
      </c>
      <c r="D1846" s="17">
        <v>34652.38</v>
      </c>
      <c r="E1846" s="19">
        <v>0.8547</v>
      </c>
      <c r="F1846" s="19">
        <v>0.1183</v>
      </c>
      <c r="G1846" s="17">
        <v>2997512.35</v>
      </c>
      <c r="H1846" s="17">
        <v>3612266.22</v>
      </c>
      <c r="I1846" s="8" t="s">
        <v>125</v>
      </c>
    </row>
    <row r="1847" ht="15" customHeight="1">
      <c r="A1847" s="7">
        <v>1845</v>
      </c>
      <c r="B1847" s="18">
        <v>0.4449</v>
      </c>
      <c r="C1847" s="18">
        <v>1.208</v>
      </c>
      <c r="D1847" s="16">
        <v>24884.58</v>
      </c>
      <c r="E1847" s="18">
        <v>0.9135</v>
      </c>
      <c r="F1847" s="18">
        <v>0.093</v>
      </c>
      <c r="G1847" s="16">
        <v>2481273.14</v>
      </c>
      <c r="H1847" s="16">
        <v>2992251.76</v>
      </c>
      <c r="I1847" s="7" t="s">
        <v>125</v>
      </c>
    </row>
    <row r="1848" ht="15" customHeight="1">
      <c r="A1848" s="8">
        <v>1846</v>
      </c>
      <c r="B1848" s="19">
        <v>0.3291</v>
      </c>
      <c r="C1848" s="19">
        <v>0.7037</v>
      </c>
      <c r="D1848" s="17">
        <v>20346.55</v>
      </c>
      <c r="E1848" s="19">
        <v>0.8047</v>
      </c>
      <c r="F1848" s="19">
        <v>0.0597</v>
      </c>
      <c r="G1848" s="17">
        <v>330132.42</v>
      </c>
      <c r="H1848" s="17">
        <v>452766.61</v>
      </c>
      <c r="I1848" s="8" t="s">
        <v>125</v>
      </c>
    </row>
    <row r="1849" ht="15" customHeight="1">
      <c r="A1849" s="7">
        <v>1847</v>
      </c>
      <c r="B1849" s="18">
        <v>0.4651</v>
      </c>
      <c r="C1849" s="18">
        <v>0.8044</v>
      </c>
      <c r="D1849" s="16">
        <v>31808.53</v>
      </c>
      <c r="E1849" s="18">
        <v>0.8567</v>
      </c>
      <c r="F1849" s="18">
        <v>0.1475</v>
      </c>
      <c r="G1849" s="16">
        <v>1193145.61</v>
      </c>
      <c r="H1849" s="16">
        <v>1487563.91</v>
      </c>
      <c r="I1849" s="7" t="s">
        <v>125</v>
      </c>
    </row>
    <row r="1850" ht="15" customHeight="1">
      <c r="A1850" s="8">
        <v>1848</v>
      </c>
      <c r="B1850" s="19">
        <v>0.608</v>
      </c>
      <c r="C1850" s="19">
        <v>0.8464</v>
      </c>
      <c r="D1850" s="17">
        <v>28116.06</v>
      </c>
      <c r="E1850" s="19">
        <v>0.8541</v>
      </c>
      <c r="F1850" s="19">
        <v>0.1039</v>
      </c>
      <c r="G1850" s="17">
        <v>2051967.64</v>
      </c>
      <c r="H1850" s="17">
        <v>2490218.6</v>
      </c>
      <c r="I1850" s="8" t="s">
        <v>125</v>
      </c>
    </row>
    <row r="1851" ht="15" customHeight="1">
      <c r="A1851" s="7">
        <v>1849</v>
      </c>
      <c r="B1851" s="18">
        <v>0.634</v>
      </c>
      <c r="C1851" s="18">
        <v>1.204</v>
      </c>
      <c r="D1851" s="16">
        <v>27998.41</v>
      </c>
      <c r="E1851" s="18">
        <v>0.9464</v>
      </c>
      <c r="F1851" s="18">
        <v>0.1135</v>
      </c>
      <c r="G1851" s="16">
        <v>4226997.61</v>
      </c>
      <c r="H1851" s="16">
        <v>5059282.11</v>
      </c>
      <c r="I1851" s="7" t="s">
        <v>125</v>
      </c>
    </row>
    <row r="1852" ht="15" customHeight="1">
      <c r="A1852" s="8">
        <v>1850</v>
      </c>
      <c r="B1852" s="19">
        <v>0.4728</v>
      </c>
      <c r="C1852" s="19">
        <v>1.1832</v>
      </c>
      <c r="D1852" s="17">
        <v>30748.58</v>
      </c>
      <c r="E1852" s="19">
        <v>0.9581</v>
      </c>
      <c r="F1852" s="19">
        <v>0.1408</v>
      </c>
      <c r="G1852" s="17">
        <v>2884751.31</v>
      </c>
      <c r="H1852" s="17">
        <v>3485642.07</v>
      </c>
      <c r="I1852" s="8" t="s">
        <v>125</v>
      </c>
    </row>
    <row r="1853" ht="15" customHeight="1">
      <c r="A1853" s="7">
        <v>1851</v>
      </c>
      <c r="B1853" s="18">
        <v>0.4984</v>
      </c>
      <c r="C1853" s="18">
        <v>0.8158</v>
      </c>
      <c r="D1853" s="16">
        <v>19935.12</v>
      </c>
      <c r="E1853" s="18">
        <v>0.9542</v>
      </c>
      <c r="F1853" s="18">
        <v>0.0805</v>
      </c>
      <c r="G1853" s="16">
        <v>1832765.96</v>
      </c>
      <c r="H1853" s="16">
        <v>2223931.81</v>
      </c>
      <c r="I1853" s="7" t="s">
        <v>125</v>
      </c>
    </row>
    <row r="1854" ht="15" customHeight="1">
      <c r="A1854" s="8">
        <v>1852</v>
      </c>
      <c r="B1854" s="19">
        <v>0.4894</v>
      </c>
      <c r="C1854" s="19">
        <v>0.8149</v>
      </c>
      <c r="D1854" s="17">
        <v>29694.04</v>
      </c>
      <c r="E1854" s="19">
        <v>0.8597</v>
      </c>
      <c r="F1854" s="19">
        <v>0.0995</v>
      </c>
      <c r="G1854" s="17">
        <v>1270206.43</v>
      </c>
      <c r="H1854" s="17">
        <v>1567875.55</v>
      </c>
      <c r="I1854" s="8" t="s">
        <v>125</v>
      </c>
    </row>
    <row r="1855" ht="15" customHeight="1">
      <c r="A1855" s="7">
        <v>1853</v>
      </c>
      <c r="B1855" s="18">
        <v>0.5902</v>
      </c>
      <c r="C1855" s="18">
        <v>0.9914</v>
      </c>
      <c r="D1855" s="16">
        <v>29228.64</v>
      </c>
      <c r="E1855" s="18">
        <v>0.8708</v>
      </c>
      <c r="F1855" s="18">
        <v>0.0781</v>
      </c>
      <c r="G1855" s="16">
        <v>2410635.27</v>
      </c>
      <c r="H1855" s="16">
        <v>2905485.98</v>
      </c>
      <c r="I1855" s="7" t="s">
        <v>125</v>
      </c>
    </row>
    <row r="1856" ht="15" customHeight="1">
      <c r="A1856" s="8">
        <v>1854</v>
      </c>
      <c r="B1856" s="19">
        <v>0.4125</v>
      </c>
      <c r="C1856" s="19">
        <v>1.2536</v>
      </c>
      <c r="D1856" s="17">
        <v>25881.73</v>
      </c>
      <c r="E1856" s="19">
        <v>0.9248</v>
      </c>
      <c r="F1856" s="19">
        <v>0.0974</v>
      </c>
      <c r="G1856" s="17">
        <v>2378105.47</v>
      </c>
      <c r="H1856" s="17">
        <v>2872253.22</v>
      </c>
      <c r="I1856" s="8" t="s">
        <v>125</v>
      </c>
    </row>
    <row r="1857" ht="15" customHeight="1">
      <c r="A1857" s="7">
        <v>1855</v>
      </c>
      <c r="B1857" s="18">
        <v>0.3816</v>
      </c>
      <c r="C1857" s="18">
        <v>1.2353</v>
      </c>
      <c r="D1857" s="16">
        <v>25255.64</v>
      </c>
      <c r="E1857" s="18">
        <v>0.8894</v>
      </c>
      <c r="F1857" s="18">
        <v>0.1336</v>
      </c>
      <c r="G1857" s="16">
        <v>2112471.08</v>
      </c>
      <c r="H1857" s="16">
        <v>2568701.32</v>
      </c>
      <c r="I1857" s="7" t="s">
        <v>125</v>
      </c>
    </row>
    <row r="1858" ht="15" customHeight="1">
      <c r="A1858" s="8">
        <v>1856</v>
      </c>
      <c r="B1858" s="19">
        <v>0.4202</v>
      </c>
      <c r="C1858" s="19">
        <v>1.0354</v>
      </c>
      <c r="D1858" s="17">
        <v>39934.15</v>
      </c>
      <c r="E1858" s="19">
        <v>0.9181</v>
      </c>
      <c r="F1858" s="19">
        <v>0.1044</v>
      </c>
      <c r="G1858" s="17">
        <v>1392021.34</v>
      </c>
      <c r="H1858" s="17">
        <v>1715448.92</v>
      </c>
      <c r="I1858" s="8" t="s">
        <v>125</v>
      </c>
    </row>
    <row r="1859" ht="15" customHeight="1">
      <c r="A1859" s="7">
        <v>1857</v>
      </c>
      <c r="B1859" s="18">
        <v>0.5285</v>
      </c>
      <c r="C1859" s="18">
        <v>0.9566</v>
      </c>
      <c r="D1859" s="16">
        <v>27549.88</v>
      </c>
      <c r="E1859" s="18">
        <v>0.8903</v>
      </c>
      <c r="F1859" s="18">
        <v>0.092</v>
      </c>
      <c r="G1859" s="16">
        <v>2095515.28</v>
      </c>
      <c r="H1859" s="16">
        <v>2538102.61</v>
      </c>
      <c r="I1859" s="7" t="s">
        <v>125</v>
      </c>
    </row>
    <row r="1860" ht="15" customHeight="1">
      <c r="A1860" s="8">
        <v>1858</v>
      </c>
      <c r="B1860" s="19">
        <v>0.69</v>
      </c>
      <c r="C1860" s="19">
        <v>0.9959</v>
      </c>
      <c r="D1860" s="17">
        <v>28046.82</v>
      </c>
      <c r="E1860" s="19">
        <v>0.955</v>
      </c>
      <c r="F1860" s="19">
        <v>0.0751</v>
      </c>
      <c r="G1860" s="17">
        <v>3482509.16</v>
      </c>
      <c r="H1860" s="17">
        <v>4165624.83</v>
      </c>
      <c r="I1860" s="8" t="s">
        <v>125</v>
      </c>
    </row>
    <row r="1861" ht="15" customHeight="1">
      <c r="A1861" s="7">
        <v>1859</v>
      </c>
      <c r="B1861" s="18">
        <v>0.4323</v>
      </c>
      <c r="C1861" s="18">
        <v>0.786</v>
      </c>
      <c r="D1861" s="16">
        <v>26009.23</v>
      </c>
      <c r="E1861" s="18">
        <v>0.8666</v>
      </c>
      <c r="F1861" s="18">
        <v>0.1555</v>
      </c>
      <c r="G1861" s="16">
        <v>1190319.47</v>
      </c>
      <c r="H1861" s="16">
        <v>1483459.74</v>
      </c>
      <c r="I1861" s="7" t="s">
        <v>125</v>
      </c>
    </row>
    <row r="1862" ht="15" customHeight="1">
      <c r="A1862" s="8">
        <v>1860</v>
      </c>
      <c r="B1862" s="19">
        <v>0.6343</v>
      </c>
      <c r="C1862" s="19">
        <v>0.9011</v>
      </c>
      <c r="D1862" s="17">
        <v>32383.43</v>
      </c>
      <c r="E1862" s="19">
        <v>0.8699</v>
      </c>
      <c r="F1862" s="19">
        <v>0.0634</v>
      </c>
      <c r="G1862" s="17">
        <v>2155275.25</v>
      </c>
      <c r="H1862" s="17">
        <v>2601149.38</v>
      </c>
      <c r="I1862" s="8" t="s">
        <v>125</v>
      </c>
    </row>
    <row r="1863" ht="15" customHeight="1">
      <c r="A1863" s="7">
        <v>1861</v>
      </c>
      <c r="B1863" s="18">
        <v>0.7697</v>
      </c>
      <c r="C1863" s="18">
        <v>0.9315</v>
      </c>
      <c r="D1863" s="16">
        <v>30158.12</v>
      </c>
      <c r="E1863" s="18">
        <v>0.872</v>
      </c>
      <c r="F1863" s="18">
        <v>0.1439</v>
      </c>
      <c r="G1863" s="16">
        <v>3618064</v>
      </c>
      <c r="H1863" s="16">
        <v>4353567.45</v>
      </c>
      <c r="I1863" s="7" t="s">
        <v>125</v>
      </c>
    </row>
    <row r="1864" ht="15" customHeight="1">
      <c r="A1864" s="8">
        <v>1862</v>
      </c>
      <c r="B1864" s="19">
        <v>0.5545</v>
      </c>
      <c r="C1864" s="19">
        <v>0.9162</v>
      </c>
      <c r="D1864" s="17">
        <v>23612</v>
      </c>
      <c r="E1864" s="19">
        <v>0.8958</v>
      </c>
      <c r="F1864" s="19">
        <v>0.096</v>
      </c>
      <c r="G1864" s="17">
        <v>2271095.98</v>
      </c>
      <c r="H1864" s="17">
        <v>2745135.18</v>
      </c>
      <c r="I1864" s="8" t="s">
        <v>125</v>
      </c>
    </row>
    <row r="1865" ht="15" customHeight="1">
      <c r="A1865" s="7">
        <v>1863</v>
      </c>
      <c r="B1865" s="18">
        <v>0.7061</v>
      </c>
      <c r="C1865" s="18">
        <v>1.2998</v>
      </c>
      <c r="D1865" s="16">
        <v>23673.02</v>
      </c>
      <c r="E1865" s="18">
        <v>0.8258</v>
      </c>
      <c r="F1865" s="18">
        <v>0.1291</v>
      </c>
      <c r="G1865" s="16">
        <v>4743692.57</v>
      </c>
      <c r="H1865" s="16">
        <v>5675110.03</v>
      </c>
      <c r="I1865" s="7" t="s">
        <v>125</v>
      </c>
    </row>
    <row r="1866" ht="15" customHeight="1">
      <c r="A1866" s="8">
        <v>1864</v>
      </c>
      <c r="B1866" s="19">
        <v>0.6314</v>
      </c>
      <c r="C1866" s="19">
        <v>1.0881</v>
      </c>
      <c r="D1866" s="17">
        <v>27684.8</v>
      </c>
      <c r="E1866" s="19">
        <v>0.9083</v>
      </c>
      <c r="F1866" s="19">
        <v>0.0346</v>
      </c>
      <c r="G1866" s="17">
        <v>3025380.61</v>
      </c>
      <c r="H1866" s="17">
        <v>3612681.05</v>
      </c>
      <c r="I1866" s="8" t="s">
        <v>125</v>
      </c>
    </row>
    <row r="1867" ht="15" customHeight="1">
      <c r="A1867" s="7">
        <v>1865</v>
      </c>
      <c r="B1867" s="18">
        <v>0.6524</v>
      </c>
      <c r="C1867" s="18">
        <v>0.9051</v>
      </c>
      <c r="D1867" s="16">
        <v>20012.26</v>
      </c>
      <c r="E1867" s="18">
        <v>0.8785</v>
      </c>
      <c r="F1867" s="18">
        <v>0.1896</v>
      </c>
      <c r="G1867" s="16">
        <v>3341443.35</v>
      </c>
      <c r="H1867" s="16">
        <v>4038189.43</v>
      </c>
      <c r="I1867" s="7" t="s">
        <v>125</v>
      </c>
    </row>
    <row r="1868" ht="15" customHeight="1">
      <c r="A1868" s="8">
        <v>1866</v>
      </c>
      <c r="B1868" s="19">
        <v>0.5304</v>
      </c>
      <c r="C1868" s="19">
        <v>1.1845</v>
      </c>
      <c r="D1868" s="17">
        <v>26259.81</v>
      </c>
      <c r="E1868" s="19">
        <v>0.9016</v>
      </c>
      <c r="F1868" s="19">
        <v>0.0683</v>
      </c>
      <c r="G1868" s="17">
        <v>2857576.35</v>
      </c>
      <c r="H1868" s="17">
        <v>3427495.59</v>
      </c>
      <c r="I1868" s="8" t="s">
        <v>125</v>
      </c>
    </row>
    <row r="1869" ht="15" customHeight="1">
      <c r="A1869" s="7">
        <v>1867</v>
      </c>
      <c r="B1869" s="18">
        <v>0.6</v>
      </c>
      <c r="C1869" s="18">
        <v>1.1233</v>
      </c>
      <c r="D1869" s="16">
        <v>30996.53</v>
      </c>
      <c r="E1869" s="18">
        <v>0.894</v>
      </c>
      <c r="F1869" s="18">
        <v>0.1169</v>
      </c>
      <c r="G1869" s="16">
        <v>3252047.39</v>
      </c>
      <c r="H1869" s="16">
        <v>3911058.13</v>
      </c>
      <c r="I1869" s="7" t="s">
        <v>125</v>
      </c>
    </row>
    <row r="1870" ht="15" customHeight="1">
      <c r="A1870" s="8">
        <v>1868</v>
      </c>
      <c r="B1870" s="19">
        <v>0.6396</v>
      </c>
      <c r="C1870" s="19">
        <v>1.109</v>
      </c>
      <c r="D1870" s="17">
        <v>30242.52</v>
      </c>
      <c r="E1870" s="19">
        <v>0.9087</v>
      </c>
      <c r="F1870" s="19">
        <v>0.0783</v>
      </c>
      <c r="G1870" s="17">
        <v>3350501.53</v>
      </c>
      <c r="H1870" s="17">
        <v>4011986.11</v>
      </c>
      <c r="I1870" s="8" t="s">
        <v>125</v>
      </c>
    </row>
    <row r="1871" ht="15" customHeight="1">
      <c r="A1871" s="7">
        <v>1869</v>
      </c>
      <c r="B1871" s="18">
        <v>0.6547</v>
      </c>
      <c r="C1871" s="18">
        <v>0.9274</v>
      </c>
      <c r="D1871" s="16">
        <v>27839.83</v>
      </c>
      <c r="E1871" s="18">
        <v>0.8559</v>
      </c>
      <c r="F1871" s="18">
        <v>0.0453</v>
      </c>
      <c r="G1871" s="16">
        <v>2365139.97</v>
      </c>
      <c r="H1871" s="16">
        <v>2841459.19</v>
      </c>
      <c r="I1871" s="7" t="s">
        <v>125</v>
      </c>
    </row>
    <row r="1872" ht="15" customHeight="1">
      <c r="A1872" s="8">
        <v>1870</v>
      </c>
      <c r="B1872" s="19">
        <v>0.6191</v>
      </c>
      <c r="C1872" s="19">
        <v>0.8466</v>
      </c>
      <c r="D1872" s="17">
        <v>26828.28</v>
      </c>
      <c r="E1872" s="19">
        <v>0.9481</v>
      </c>
      <c r="F1872" s="19">
        <v>-0.0092</v>
      </c>
      <c r="G1872" s="17">
        <v>1994966.74</v>
      </c>
      <c r="H1872" s="17">
        <v>2391137.47</v>
      </c>
      <c r="I1872" s="8" t="s">
        <v>125</v>
      </c>
    </row>
    <row r="1873" ht="15" customHeight="1">
      <c r="A1873" s="7">
        <v>1871</v>
      </c>
      <c r="B1873" s="18">
        <v>0.7808</v>
      </c>
      <c r="C1873" s="18">
        <v>1.1835</v>
      </c>
      <c r="D1873" s="16">
        <v>31926.67</v>
      </c>
      <c r="E1873" s="18">
        <v>0.8875</v>
      </c>
      <c r="F1873" s="18">
        <v>0.1146</v>
      </c>
      <c r="G1873" s="16">
        <v>4849145.16</v>
      </c>
      <c r="H1873" s="16">
        <v>5795130.97</v>
      </c>
      <c r="I1873" s="7" t="s">
        <v>125</v>
      </c>
    </row>
    <row r="1874" ht="15" customHeight="1">
      <c r="A1874" s="8">
        <v>1872</v>
      </c>
      <c r="B1874" s="19">
        <v>0.5045</v>
      </c>
      <c r="C1874" s="19">
        <v>1.1224</v>
      </c>
      <c r="D1874" s="17">
        <v>26525.58</v>
      </c>
      <c r="E1874" s="19">
        <v>0.9095</v>
      </c>
      <c r="F1874" s="19">
        <v>0.1357</v>
      </c>
      <c r="G1874" s="17">
        <v>2824393.42</v>
      </c>
      <c r="H1874" s="17">
        <v>3411042.82</v>
      </c>
      <c r="I1874" s="8" t="s">
        <v>125</v>
      </c>
    </row>
    <row r="1875" ht="15" customHeight="1">
      <c r="A1875" s="7">
        <v>1873</v>
      </c>
      <c r="B1875" s="18">
        <v>0.5031</v>
      </c>
      <c r="C1875" s="18">
        <v>0.968</v>
      </c>
      <c r="D1875" s="16">
        <v>27791.03</v>
      </c>
      <c r="E1875" s="18">
        <v>0.8975</v>
      </c>
      <c r="F1875" s="18">
        <v>0.044</v>
      </c>
      <c r="G1875" s="16">
        <v>1793522.81</v>
      </c>
      <c r="H1875" s="16">
        <v>2169946.1</v>
      </c>
      <c r="I1875" s="7" t="s">
        <v>125</v>
      </c>
    </row>
    <row r="1876" ht="15" customHeight="1">
      <c r="A1876" s="8">
        <v>1874</v>
      </c>
      <c r="B1876" s="19">
        <v>0.7657</v>
      </c>
      <c r="C1876" s="19">
        <v>1.0469</v>
      </c>
      <c r="D1876" s="17">
        <v>33125.4</v>
      </c>
      <c r="E1876" s="19">
        <v>0.8944</v>
      </c>
      <c r="F1876" s="19">
        <v>0.1498</v>
      </c>
      <c r="G1876" s="17">
        <v>4287496.87</v>
      </c>
      <c r="H1876" s="17">
        <v>5148945.81</v>
      </c>
      <c r="I1876" s="8" t="s">
        <v>125</v>
      </c>
    </row>
    <row r="1877" ht="15" customHeight="1">
      <c r="A1877" s="7">
        <v>1875</v>
      </c>
      <c r="B1877" s="18">
        <v>0.6165</v>
      </c>
      <c r="C1877" s="18">
        <v>0.974</v>
      </c>
      <c r="D1877" s="16">
        <v>22566.95</v>
      </c>
      <c r="E1877" s="18">
        <v>0.835</v>
      </c>
      <c r="F1877" s="18">
        <v>0.0727</v>
      </c>
      <c r="G1877" s="16">
        <v>2531379.34</v>
      </c>
      <c r="H1877" s="16">
        <v>3044512.72</v>
      </c>
      <c r="I1877" s="7" t="s">
        <v>125</v>
      </c>
    </row>
    <row r="1878" ht="15" customHeight="1">
      <c r="A1878" s="8">
        <v>1876</v>
      </c>
      <c r="B1878" s="19">
        <v>0.6076</v>
      </c>
      <c r="C1878" s="19">
        <v>1.0331</v>
      </c>
      <c r="D1878" s="17">
        <v>19182.91</v>
      </c>
      <c r="E1878" s="19">
        <v>0.8282</v>
      </c>
      <c r="F1878" s="19">
        <v>0.1478</v>
      </c>
      <c r="G1878" s="17">
        <v>3151526.23</v>
      </c>
      <c r="H1878" s="17">
        <v>3799011.71</v>
      </c>
      <c r="I1878" s="8" t="s">
        <v>125</v>
      </c>
    </row>
    <row r="1879" ht="15" customHeight="1">
      <c r="A1879" s="7">
        <v>1877</v>
      </c>
      <c r="B1879" s="18">
        <v>0.6279</v>
      </c>
      <c r="C1879" s="18">
        <v>1.1365</v>
      </c>
      <c r="D1879" s="16">
        <v>25613.61</v>
      </c>
      <c r="E1879" s="18">
        <v>0.9423</v>
      </c>
      <c r="F1879" s="18">
        <v>0.1536</v>
      </c>
      <c r="G1879" s="16">
        <v>4195048.33</v>
      </c>
      <c r="H1879" s="16">
        <v>5038277.68</v>
      </c>
      <c r="I1879" s="7" t="s">
        <v>125</v>
      </c>
    </row>
    <row r="1880" ht="15" customHeight="1">
      <c r="A1880" s="8">
        <v>1878</v>
      </c>
      <c r="B1880" s="19">
        <v>0.5947</v>
      </c>
      <c r="C1880" s="19">
        <v>0.9516</v>
      </c>
      <c r="D1880" s="17">
        <v>19347.63</v>
      </c>
      <c r="E1880" s="19">
        <v>0.9185</v>
      </c>
      <c r="F1880" s="19">
        <v>0.0904</v>
      </c>
      <c r="G1880" s="17">
        <v>2850201.7</v>
      </c>
      <c r="H1880" s="17">
        <v>3424724.46</v>
      </c>
      <c r="I1880" s="8" t="s">
        <v>125</v>
      </c>
    </row>
    <row r="1881" ht="15" customHeight="1">
      <c r="A1881" s="7">
        <v>1879</v>
      </c>
      <c r="B1881" s="18">
        <v>0.6398</v>
      </c>
      <c r="C1881" s="18">
        <v>1.2046</v>
      </c>
      <c r="D1881" s="16">
        <v>39771.13</v>
      </c>
      <c r="E1881" s="18">
        <v>0.9036</v>
      </c>
      <c r="F1881" s="18">
        <v>0.0561</v>
      </c>
      <c r="G1881" s="16">
        <v>3283076.81</v>
      </c>
      <c r="H1881" s="16">
        <v>3925355.09</v>
      </c>
      <c r="I1881" s="7" t="s">
        <v>125</v>
      </c>
    </row>
    <row r="1882" ht="15" customHeight="1">
      <c r="A1882" s="8">
        <v>1880</v>
      </c>
      <c r="B1882" s="19">
        <v>0.6901</v>
      </c>
      <c r="C1882" s="19">
        <v>0.8997</v>
      </c>
      <c r="D1882" s="17">
        <v>33519.34</v>
      </c>
      <c r="E1882" s="19">
        <v>0.8668</v>
      </c>
      <c r="F1882" s="19">
        <v>0.15</v>
      </c>
      <c r="G1882" s="17">
        <v>2866913.84</v>
      </c>
      <c r="H1882" s="17">
        <v>3468713.59</v>
      </c>
      <c r="I1882" s="8" t="s">
        <v>125</v>
      </c>
    </row>
    <row r="1883" ht="15" customHeight="1">
      <c r="A1883" s="7">
        <v>1881</v>
      </c>
      <c r="B1883" s="18">
        <v>0.6503</v>
      </c>
      <c r="C1883" s="18">
        <v>1.1219</v>
      </c>
      <c r="D1883" s="16">
        <v>27704.24</v>
      </c>
      <c r="E1883" s="18">
        <v>0.81</v>
      </c>
      <c r="F1883" s="18">
        <v>0.0955</v>
      </c>
      <c r="G1883" s="16">
        <v>3141314.32</v>
      </c>
      <c r="H1883" s="16">
        <v>3771576.88</v>
      </c>
      <c r="I1883" s="7" t="s">
        <v>125</v>
      </c>
    </row>
    <row r="1884" ht="15" customHeight="1">
      <c r="A1884" s="8">
        <v>1882</v>
      </c>
      <c r="B1884" s="19">
        <v>0.6064</v>
      </c>
      <c r="C1884" s="19">
        <v>1.0148</v>
      </c>
      <c r="D1884" s="17">
        <v>34266.59</v>
      </c>
      <c r="E1884" s="19">
        <v>0.9107</v>
      </c>
      <c r="F1884" s="19">
        <v>0.102</v>
      </c>
      <c r="G1884" s="17">
        <v>2750467.46</v>
      </c>
      <c r="H1884" s="17">
        <v>3314941.19</v>
      </c>
      <c r="I1884" s="8" t="s">
        <v>125</v>
      </c>
    </row>
    <row r="1885" ht="15" customHeight="1">
      <c r="A1885" s="7">
        <v>1883</v>
      </c>
      <c r="B1885" s="18">
        <v>0.5448</v>
      </c>
      <c r="C1885" s="18">
        <v>1.1228</v>
      </c>
      <c r="D1885" s="16">
        <v>22245.56</v>
      </c>
      <c r="E1885" s="18">
        <v>0.8962</v>
      </c>
      <c r="F1885" s="18">
        <v>0.0761</v>
      </c>
      <c r="G1885" s="16">
        <v>2893056.39</v>
      </c>
      <c r="H1885" s="16">
        <v>3471117.7</v>
      </c>
      <c r="I1885" s="7" t="s">
        <v>125</v>
      </c>
    </row>
    <row r="1886" ht="15" customHeight="1">
      <c r="A1886" s="8">
        <v>1884</v>
      </c>
      <c r="B1886" s="19">
        <v>0.4489</v>
      </c>
      <c r="C1886" s="19">
        <v>1.1396</v>
      </c>
      <c r="D1886" s="17">
        <v>28805.03</v>
      </c>
      <c r="E1886" s="19">
        <v>0.9415</v>
      </c>
      <c r="F1886" s="19">
        <v>0.1013</v>
      </c>
      <c r="G1886" s="17">
        <v>2331265.41</v>
      </c>
      <c r="H1886" s="17">
        <v>2818977.49</v>
      </c>
      <c r="I1886" s="8" t="s">
        <v>125</v>
      </c>
    </row>
    <row r="1887" ht="15" customHeight="1">
      <c r="A1887" s="7">
        <v>1885</v>
      </c>
      <c r="B1887" s="18">
        <v>0.7482</v>
      </c>
      <c r="C1887" s="18">
        <v>0.7464</v>
      </c>
      <c r="D1887" s="16">
        <v>28887.19</v>
      </c>
      <c r="E1887" s="18">
        <v>0.841</v>
      </c>
      <c r="F1887" s="18">
        <v>0.0362</v>
      </c>
      <c r="G1887" s="16">
        <v>1950194.16</v>
      </c>
      <c r="H1887" s="16">
        <v>2351836.82</v>
      </c>
      <c r="I1887" s="7" t="s">
        <v>125</v>
      </c>
    </row>
    <row r="1888" ht="15" customHeight="1">
      <c r="A1888" s="8">
        <v>1886</v>
      </c>
      <c r="B1888" s="19">
        <v>0.7787</v>
      </c>
      <c r="C1888" s="19">
        <v>0.9175</v>
      </c>
      <c r="D1888" s="17">
        <v>28397</v>
      </c>
      <c r="E1888" s="19">
        <v>0.7905</v>
      </c>
      <c r="F1888" s="19">
        <v>0.0341</v>
      </c>
      <c r="G1888" s="17">
        <v>2600025.09</v>
      </c>
      <c r="H1888" s="17">
        <v>3113561.53</v>
      </c>
      <c r="I1888" s="8" t="s">
        <v>125</v>
      </c>
    </row>
    <row r="1889" ht="15" customHeight="1">
      <c r="A1889" s="7">
        <v>1887</v>
      </c>
      <c r="B1889" s="18">
        <v>0.5042</v>
      </c>
      <c r="C1889" s="18">
        <v>0.9999</v>
      </c>
      <c r="D1889" s="16">
        <v>32375.99</v>
      </c>
      <c r="E1889" s="18">
        <v>0.8728</v>
      </c>
      <c r="F1889" s="18">
        <v>0.1032</v>
      </c>
      <c r="G1889" s="16">
        <v>1921106.31</v>
      </c>
      <c r="H1889" s="16">
        <v>2336900.87</v>
      </c>
      <c r="I1889" s="7" t="s">
        <v>125</v>
      </c>
    </row>
    <row r="1890" ht="15" customHeight="1">
      <c r="A1890" s="8">
        <v>1888</v>
      </c>
      <c r="B1890" s="19">
        <v>0.5202</v>
      </c>
      <c r="C1890" s="19">
        <v>0.8268</v>
      </c>
      <c r="D1890" s="17">
        <v>22530.77</v>
      </c>
      <c r="E1890" s="19">
        <v>0.8348</v>
      </c>
      <c r="F1890" s="19">
        <v>0.0622</v>
      </c>
      <c r="G1890" s="17">
        <v>1481568.13</v>
      </c>
      <c r="H1890" s="17">
        <v>1807083.97</v>
      </c>
      <c r="I1890" s="8" t="s">
        <v>125</v>
      </c>
    </row>
    <row r="1891" ht="15" customHeight="1">
      <c r="A1891" s="7">
        <v>1889</v>
      </c>
      <c r="B1891" s="18">
        <v>0.6587</v>
      </c>
      <c r="C1891" s="18">
        <v>1.357</v>
      </c>
      <c r="D1891" s="16">
        <v>32037.44</v>
      </c>
      <c r="E1891" s="18">
        <v>0.8538</v>
      </c>
      <c r="F1891" s="18">
        <v>0.0833</v>
      </c>
      <c r="G1891" s="16">
        <v>4183786.09</v>
      </c>
      <c r="H1891" s="16">
        <v>4995494.18</v>
      </c>
      <c r="I1891" s="7" t="s">
        <v>125</v>
      </c>
    </row>
    <row r="1892" ht="15" customHeight="1">
      <c r="A1892" s="8">
        <v>1890</v>
      </c>
      <c r="B1892" s="19">
        <v>0.5762</v>
      </c>
      <c r="C1892" s="19">
        <v>0.9185</v>
      </c>
      <c r="D1892" s="17">
        <v>28188.99</v>
      </c>
      <c r="E1892" s="19">
        <v>0.9553</v>
      </c>
      <c r="F1892" s="19">
        <v>0.1166</v>
      </c>
      <c r="G1892" s="17">
        <v>2603910.76</v>
      </c>
      <c r="H1892" s="17">
        <v>3145106.1</v>
      </c>
      <c r="I1892" s="8" t="s">
        <v>125</v>
      </c>
    </row>
    <row r="1893" ht="15" customHeight="1">
      <c r="A1893" s="7">
        <v>1891</v>
      </c>
      <c r="B1893" s="18">
        <v>0.6443</v>
      </c>
      <c r="C1893" s="18">
        <v>1.1107</v>
      </c>
      <c r="D1893" s="16">
        <v>24077.16</v>
      </c>
      <c r="E1893" s="18">
        <v>0.9562</v>
      </c>
      <c r="F1893" s="18">
        <v>0.0376</v>
      </c>
      <c r="G1893" s="16">
        <v>3563231.52</v>
      </c>
      <c r="H1893" s="16">
        <v>4244562.98</v>
      </c>
      <c r="I1893" s="7" t="s">
        <v>125</v>
      </c>
    </row>
    <row r="1894" ht="15" customHeight="1">
      <c r="A1894" s="8">
        <v>1892</v>
      </c>
      <c r="B1894" s="19">
        <v>0.4318</v>
      </c>
      <c r="C1894" s="19">
        <v>1.123</v>
      </c>
      <c r="D1894" s="17">
        <v>19457.51</v>
      </c>
      <c r="E1894" s="19">
        <v>0.853</v>
      </c>
      <c r="F1894" s="19">
        <v>0.0838</v>
      </c>
      <c r="G1894" s="17">
        <v>2044426.97</v>
      </c>
      <c r="H1894" s="17">
        <v>2473814.73</v>
      </c>
      <c r="I1894" s="8" t="s">
        <v>125</v>
      </c>
    </row>
    <row r="1895" ht="15" customHeight="1">
      <c r="A1895" s="7">
        <v>1893</v>
      </c>
      <c r="B1895" s="18">
        <v>0.604</v>
      </c>
      <c r="C1895" s="18">
        <v>1.3854</v>
      </c>
      <c r="D1895" s="16">
        <v>19967.04</v>
      </c>
      <c r="E1895" s="18">
        <v>0.8194</v>
      </c>
      <c r="F1895" s="18">
        <v>0.1026</v>
      </c>
      <c r="G1895" s="16">
        <v>4123423.7</v>
      </c>
      <c r="H1895" s="16">
        <v>4930009.45</v>
      </c>
      <c r="I1895" s="7" t="s">
        <v>125</v>
      </c>
    </row>
    <row r="1896" ht="15" customHeight="1">
      <c r="A1896" s="8">
        <v>1894</v>
      </c>
      <c r="B1896" s="19">
        <v>0.573</v>
      </c>
      <c r="C1896" s="19">
        <v>0.7447</v>
      </c>
      <c r="D1896" s="17">
        <v>35699.61</v>
      </c>
      <c r="E1896" s="19">
        <v>0.878</v>
      </c>
      <c r="F1896" s="19">
        <v>0.1249</v>
      </c>
      <c r="G1896" s="17">
        <v>1413839.43</v>
      </c>
      <c r="H1896" s="17">
        <v>1744830.48</v>
      </c>
      <c r="I1896" s="8" t="s">
        <v>125</v>
      </c>
    </row>
    <row r="1897" ht="15" customHeight="1">
      <c r="A1897" s="7">
        <v>1895</v>
      </c>
      <c r="B1897" s="18">
        <v>0.61</v>
      </c>
      <c r="C1897" s="18">
        <v>0.9837</v>
      </c>
      <c r="D1897" s="16">
        <v>23937.31</v>
      </c>
      <c r="E1897" s="18">
        <v>0.8439</v>
      </c>
      <c r="F1897" s="18">
        <v>0.1264</v>
      </c>
      <c r="G1897" s="16">
        <v>2789697.01</v>
      </c>
      <c r="H1897" s="16">
        <v>3366173.64</v>
      </c>
      <c r="I1897" s="7" t="s">
        <v>125</v>
      </c>
    </row>
    <row r="1898" ht="15" customHeight="1">
      <c r="A1898" s="8">
        <v>1896</v>
      </c>
      <c r="B1898" s="19">
        <v>0.8479</v>
      </c>
      <c r="C1898" s="19">
        <v>0.673</v>
      </c>
      <c r="D1898" s="17">
        <v>26180.38</v>
      </c>
      <c r="E1898" s="19">
        <v>0.9242</v>
      </c>
      <c r="F1898" s="19">
        <v>0.0484</v>
      </c>
      <c r="G1898" s="17">
        <v>2484989.43</v>
      </c>
      <c r="H1898" s="17">
        <v>2982987.97</v>
      </c>
      <c r="I1898" s="8" t="s">
        <v>125</v>
      </c>
    </row>
    <row r="1899" ht="15" customHeight="1">
      <c r="A1899" s="7">
        <v>1897</v>
      </c>
      <c r="B1899" s="18">
        <v>0.7722</v>
      </c>
      <c r="C1899" s="18">
        <v>1.0439</v>
      </c>
      <c r="D1899" s="16">
        <v>29629.62</v>
      </c>
      <c r="E1899" s="18">
        <v>0.9146</v>
      </c>
      <c r="F1899" s="18">
        <v>0.1768</v>
      </c>
      <c r="G1899" s="16">
        <v>4761521.36</v>
      </c>
      <c r="H1899" s="16">
        <v>5721251.97</v>
      </c>
      <c r="I1899" s="7" t="s">
        <v>125</v>
      </c>
    </row>
    <row r="1900" ht="15" customHeight="1">
      <c r="A1900" s="8">
        <v>1898</v>
      </c>
      <c r="B1900" s="19">
        <v>0.7483</v>
      </c>
      <c r="C1900" s="19">
        <v>0.9177</v>
      </c>
      <c r="D1900" s="17">
        <v>29810.39</v>
      </c>
      <c r="E1900" s="19">
        <v>0.8682</v>
      </c>
      <c r="F1900" s="19">
        <v>0.1021</v>
      </c>
      <c r="G1900" s="17">
        <v>3153914.53</v>
      </c>
      <c r="H1900" s="17">
        <v>3789418.81</v>
      </c>
      <c r="I1900" s="8" t="s">
        <v>125</v>
      </c>
    </row>
    <row r="1901" ht="15" customHeight="1">
      <c r="A1901" s="7">
        <v>1899</v>
      </c>
      <c r="B1901" s="18">
        <v>0.5481</v>
      </c>
      <c r="C1901" s="18">
        <v>0.7917</v>
      </c>
      <c r="D1901" s="16">
        <v>30728.97</v>
      </c>
      <c r="E1901" s="18">
        <v>0.8626</v>
      </c>
      <c r="F1901" s="18">
        <v>0.1545</v>
      </c>
      <c r="G1901" s="16">
        <v>1676231.66</v>
      </c>
      <c r="H1901" s="16">
        <v>2060176.22</v>
      </c>
      <c r="I1901" s="7" t="s">
        <v>125</v>
      </c>
    </row>
    <row r="1902" ht="15" customHeight="1">
      <c r="A1902" s="8">
        <v>1900</v>
      </c>
      <c r="B1902" s="19">
        <v>0.4783</v>
      </c>
      <c r="C1902" s="19">
        <v>0.9655</v>
      </c>
      <c r="D1902" s="17">
        <v>26563.56</v>
      </c>
      <c r="E1902" s="19">
        <v>0.9564</v>
      </c>
      <c r="F1902" s="19">
        <v>0.0646</v>
      </c>
      <c r="G1902" s="17">
        <v>1948306.07</v>
      </c>
      <c r="H1902" s="17">
        <v>2357122.94</v>
      </c>
      <c r="I1902" s="8" t="s">
        <v>125</v>
      </c>
    </row>
    <row r="1903" ht="15" customHeight="1">
      <c r="A1903" s="7">
        <v>1901</v>
      </c>
      <c r="B1903" s="18">
        <v>0.5001</v>
      </c>
      <c r="C1903" s="18">
        <v>1.2885</v>
      </c>
      <c r="D1903" s="16">
        <v>21671.11</v>
      </c>
      <c r="E1903" s="18">
        <v>0.8799</v>
      </c>
      <c r="F1903" s="18">
        <v>0.0825</v>
      </c>
      <c r="G1903" s="16">
        <v>3079683.8</v>
      </c>
      <c r="H1903" s="16">
        <v>3692856.15</v>
      </c>
      <c r="I1903" s="7" t="s">
        <v>125</v>
      </c>
    </row>
    <row r="1904" ht="15" customHeight="1">
      <c r="A1904" s="8">
        <v>1902</v>
      </c>
      <c r="B1904" s="19">
        <v>0.5799</v>
      </c>
      <c r="C1904" s="19">
        <v>0.8667</v>
      </c>
      <c r="D1904" s="17">
        <v>24986.86</v>
      </c>
      <c r="E1904" s="19">
        <v>0.8478</v>
      </c>
      <c r="F1904" s="19">
        <v>-0.0078</v>
      </c>
      <c r="G1904" s="17">
        <v>1604602.48</v>
      </c>
      <c r="H1904" s="17">
        <v>1935098.97</v>
      </c>
      <c r="I1904" s="8" t="s">
        <v>125</v>
      </c>
    </row>
    <row r="1905" ht="15" customHeight="1">
      <c r="A1905" s="7">
        <v>1903</v>
      </c>
      <c r="B1905" s="18">
        <v>0.6963</v>
      </c>
      <c r="C1905" s="18">
        <v>1.1278</v>
      </c>
      <c r="D1905" s="16">
        <v>34830.87</v>
      </c>
      <c r="E1905" s="18">
        <v>0.873</v>
      </c>
      <c r="F1905" s="18">
        <v>0.0754</v>
      </c>
      <c r="G1905" s="16">
        <v>3485026.52</v>
      </c>
      <c r="H1905" s="16">
        <v>4170085.1</v>
      </c>
      <c r="I1905" s="7" t="s">
        <v>125</v>
      </c>
    </row>
    <row r="1906" ht="15" customHeight="1">
      <c r="A1906" s="8">
        <v>1904</v>
      </c>
      <c r="B1906" s="19">
        <v>0.6174</v>
      </c>
      <c r="C1906" s="19">
        <v>1.0933</v>
      </c>
      <c r="D1906" s="17">
        <v>32631.66</v>
      </c>
      <c r="E1906" s="19">
        <v>0.8765</v>
      </c>
      <c r="F1906" s="19">
        <v>0.1597</v>
      </c>
      <c r="G1906" s="17">
        <v>3374173.17</v>
      </c>
      <c r="H1906" s="17">
        <v>4072099.82</v>
      </c>
      <c r="I1906" s="8" t="s">
        <v>125</v>
      </c>
    </row>
    <row r="1907" ht="15" customHeight="1">
      <c r="A1907" s="7">
        <v>1905</v>
      </c>
      <c r="B1907" s="18">
        <v>0.5522</v>
      </c>
      <c r="C1907" s="18">
        <v>1.2164</v>
      </c>
      <c r="D1907" s="16">
        <v>37360.97</v>
      </c>
      <c r="E1907" s="18">
        <v>0.8744</v>
      </c>
      <c r="F1907" s="18">
        <v>0.028</v>
      </c>
      <c r="G1907" s="16">
        <v>2444036.69</v>
      </c>
      <c r="H1907" s="16">
        <v>2929268.29</v>
      </c>
      <c r="I1907" s="7" t="s">
        <v>125</v>
      </c>
    </row>
    <row r="1908" ht="15" customHeight="1">
      <c r="A1908" s="8">
        <v>1906</v>
      </c>
      <c r="B1908" s="19">
        <v>0.4984</v>
      </c>
      <c r="C1908" s="19">
        <v>1.3207</v>
      </c>
      <c r="D1908" s="17">
        <v>18463.53</v>
      </c>
      <c r="E1908" s="19">
        <v>0.9369</v>
      </c>
      <c r="F1908" s="19">
        <v>0.1313</v>
      </c>
      <c r="G1908" s="17">
        <v>3832817.04</v>
      </c>
      <c r="H1908" s="17">
        <v>4598200.28</v>
      </c>
      <c r="I1908" s="8" t="s">
        <v>125</v>
      </c>
    </row>
    <row r="1909" ht="15" customHeight="1">
      <c r="A1909" s="7">
        <v>1907</v>
      </c>
      <c r="B1909" s="18">
        <v>0.556</v>
      </c>
      <c r="C1909" s="18">
        <v>1.28</v>
      </c>
      <c r="D1909" s="16">
        <v>26484.69</v>
      </c>
      <c r="E1909" s="18">
        <v>0.9319</v>
      </c>
      <c r="F1909" s="18">
        <v>0.1254</v>
      </c>
      <c r="G1909" s="16">
        <v>3905651.82</v>
      </c>
      <c r="H1909" s="16">
        <v>4684617.09</v>
      </c>
      <c r="I1909" s="7" t="s">
        <v>125</v>
      </c>
    </row>
    <row r="1910" ht="15" customHeight="1">
      <c r="A1910" s="8">
        <v>1908</v>
      </c>
      <c r="B1910" s="19">
        <v>0.6825</v>
      </c>
      <c r="C1910" s="19">
        <v>0.6526</v>
      </c>
      <c r="D1910" s="17">
        <v>28264.52</v>
      </c>
      <c r="E1910" s="19">
        <v>0.8403</v>
      </c>
      <c r="F1910" s="19">
        <v>0.04</v>
      </c>
      <c r="G1910" s="17">
        <v>1334319.53</v>
      </c>
      <c r="H1910" s="17">
        <v>1629981.2</v>
      </c>
      <c r="I1910" s="8" t="s">
        <v>125</v>
      </c>
    </row>
    <row r="1911" ht="15" customHeight="1">
      <c r="A1911" s="7">
        <v>1909</v>
      </c>
      <c r="B1911" s="18">
        <v>0.4917</v>
      </c>
      <c r="C1911" s="18">
        <v>1.0157</v>
      </c>
      <c r="D1911" s="16">
        <v>29670.18</v>
      </c>
      <c r="E1911" s="18">
        <v>0.8411</v>
      </c>
      <c r="F1911" s="18">
        <v>0.121</v>
      </c>
      <c r="G1911" s="16">
        <v>1930049.28</v>
      </c>
      <c r="H1911" s="16">
        <v>2351415.32</v>
      </c>
      <c r="I1911" s="7" t="s">
        <v>125</v>
      </c>
    </row>
    <row r="1912" ht="15" customHeight="1">
      <c r="A1912" s="8">
        <v>1910</v>
      </c>
      <c r="B1912" s="19">
        <v>0.7334</v>
      </c>
      <c r="C1912" s="19">
        <v>0.9003</v>
      </c>
      <c r="D1912" s="17">
        <v>25712.53</v>
      </c>
      <c r="E1912" s="19">
        <v>0.8844</v>
      </c>
      <c r="F1912" s="19">
        <v>0.1591</v>
      </c>
      <c r="G1912" s="17">
        <v>3522274.49</v>
      </c>
      <c r="H1912" s="17">
        <v>4244300.54</v>
      </c>
      <c r="I1912" s="8" t="s">
        <v>125</v>
      </c>
    </row>
    <row r="1913" ht="15" customHeight="1">
      <c r="A1913" s="7">
        <v>1911</v>
      </c>
      <c r="B1913" s="18">
        <v>0.7147</v>
      </c>
      <c r="C1913" s="18">
        <v>0.9286</v>
      </c>
      <c r="D1913" s="16">
        <v>28852.57</v>
      </c>
      <c r="E1913" s="18">
        <v>0.9411</v>
      </c>
      <c r="F1913" s="18">
        <v>0.067</v>
      </c>
      <c r="G1913" s="16">
        <v>3182480.74</v>
      </c>
      <c r="H1913" s="16">
        <v>3809629.1</v>
      </c>
      <c r="I1913" s="7" t="s">
        <v>125</v>
      </c>
    </row>
    <row r="1914" ht="15" customHeight="1">
      <c r="A1914" s="8">
        <v>1912</v>
      </c>
      <c r="B1914" s="19">
        <v>0.3579</v>
      </c>
      <c r="C1914" s="19">
        <v>1.1164</v>
      </c>
      <c r="D1914" s="17">
        <v>25321.07</v>
      </c>
      <c r="E1914" s="19">
        <v>0.9663</v>
      </c>
      <c r="F1914" s="19">
        <v>0.1382</v>
      </c>
      <c r="G1914" s="17">
        <v>1872502.59</v>
      </c>
      <c r="H1914" s="17">
        <v>2286283.67</v>
      </c>
      <c r="I1914" s="8" t="s">
        <v>125</v>
      </c>
    </row>
    <row r="1915" ht="15" customHeight="1">
      <c r="A1915" s="7">
        <v>1913</v>
      </c>
      <c r="B1915" s="18">
        <v>0.5658</v>
      </c>
      <c r="C1915" s="18">
        <v>0.9143</v>
      </c>
      <c r="D1915" s="16">
        <v>26100.84</v>
      </c>
      <c r="E1915" s="18">
        <v>0.9181</v>
      </c>
      <c r="F1915" s="18">
        <v>0.0622</v>
      </c>
      <c r="G1915" s="16">
        <v>2186795.47</v>
      </c>
      <c r="H1915" s="16">
        <v>2636777.51</v>
      </c>
      <c r="I1915" s="7" t="s">
        <v>125</v>
      </c>
    </row>
    <row r="1916" ht="15" customHeight="1">
      <c r="A1916" s="8">
        <v>1914</v>
      </c>
      <c r="B1916" s="19">
        <v>0.6403</v>
      </c>
      <c r="C1916" s="19">
        <v>1.192</v>
      </c>
      <c r="D1916" s="17">
        <v>33840</v>
      </c>
      <c r="E1916" s="19">
        <v>0.9047</v>
      </c>
      <c r="F1916" s="19">
        <v>0.1399</v>
      </c>
      <c r="G1916" s="17">
        <v>3987679.42</v>
      </c>
      <c r="H1916" s="17">
        <v>4790269.51</v>
      </c>
      <c r="I1916" s="8" t="s">
        <v>125</v>
      </c>
    </row>
    <row r="1917" ht="15" customHeight="1">
      <c r="A1917" s="7">
        <v>1915</v>
      </c>
      <c r="B1917" s="18">
        <v>0.6832</v>
      </c>
      <c r="C1917" s="18">
        <v>0.7636</v>
      </c>
      <c r="D1917" s="16">
        <v>39431.84</v>
      </c>
      <c r="E1917" s="18">
        <v>0.9358</v>
      </c>
      <c r="F1917" s="18">
        <v>0.0378</v>
      </c>
      <c r="G1917" s="16">
        <v>1758591.42</v>
      </c>
      <c r="H1917" s="16">
        <v>2128549.93</v>
      </c>
      <c r="I1917" s="7" t="s">
        <v>125</v>
      </c>
    </row>
    <row r="1918" ht="15" customHeight="1">
      <c r="A1918" s="8">
        <v>1916</v>
      </c>
      <c r="B1918" s="19">
        <v>0.8118</v>
      </c>
      <c r="C1918" s="19">
        <v>1.0026</v>
      </c>
      <c r="D1918" s="17">
        <v>30598.57</v>
      </c>
      <c r="E1918" s="19">
        <v>0.8662</v>
      </c>
      <c r="F1918" s="19">
        <v>0.1128</v>
      </c>
      <c r="G1918" s="17">
        <v>4010702.81</v>
      </c>
      <c r="H1918" s="17">
        <v>4804549.01</v>
      </c>
      <c r="I1918" s="8" t="s">
        <v>125</v>
      </c>
    </row>
    <row r="1919" ht="15" customHeight="1">
      <c r="A1919" s="7">
        <v>1917</v>
      </c>
      <c r="B1919" s="18">
        <v>0.5287</v>
      </c>
      <c r="C1919" s="18">
        <v>0.9173</v>
      </c>
      <c r="D1919" s="16">
        <v>29675.11</v>
      </c>
      <c r="E1919" s="18">
        <v>0.8548</v>
      </c>
      <c r="F1919" s="18">
        <v>0.1964</v>
      </c>
      <c r="G1919" s="16">
        <v>2209228.42</v>
      </c>
      <c r="H1919" s="16">
        <v>2701886.84</v>
      </c>
      <c r="I1919" s="7" t="s">
        <v>125</v>
      </c>
    </row>
    <row r="1920" ht="15" customHeight="1">
      <c r="A1920" s="8">
        <v>1918</v>
      </c>
      <c r="B1920" s="19">
        <v>0.5952</v>
      </c>
      <c r="C1920" s="19">
        <v>1.1</v>
      </c>
      <c r="D1920" s="17">
        <v>27967.81</v>
      </c>
      <c r="E1920" s="19">
        <v>0.9197</v>
      </c>
      <c r="F1920" s="19">
        <v>0.0614</v>
      </c>
      <c r="G1920" s="17">
        <v>3019513.49</v>
      </c>
      <c r="H1920" s="17">
        <v>3615777.6</v>
      </c>
      <c r="I1920" s="8" t="s">
        <v>125</v>
      </c>
    </row>
    <row r="1921" ht="15" customHeight="1">
      <c r="A1921" s="7">
        <v>1919</v>
      </c>
      <c r="B1921" s="18">
        <v>0.5373</v>
      </c>
      <c r="C1921" s="18">
        <v>0.9069</v>
      </c>
      <c r="D1921" s="16">
        <v>33635.71</v>
      </c>
      <c r="E1921" s="18">
        <v>0.9184</v>
      </c>
      <c r="F1921" s="18">
        <v>0.1263</v>
      </c>
      <c r="G1921" s="16">
        <v>2040561.12</v>
      </c>
      <c r="H1921" s="16">
        <v>2484653.13</v>
      </c>
      <c r="I1921" s="7" t="s">
        <v>125</v>
      </c>
    </row>
    <row r="1922" ht="15" customHeight="1">
      <c r="A1922" s="8">
        <v>1920</v>
      </c>
      <c r="B1922" s="19">
        <v>0.4525</v>
      </c>
      <c r="C1922" s="19">
        <v>1.2327</v>
      </c>
      <c r="D1922" s="17">
        <v>28356.38</v>
      </c>
      <c r="E1922" s="19">
        <v>0.9196</v>
      </c>
      <c r="F1922" s="19">
        <v>0.102</v>
      </c>
      <c r="G1922" s="17">
        <v>2580869.8</v>
      </c>
      <c r="H1922" s="17">
        <v>3113331.33</v>
      </c>
      <c r="I1922" s="8" t="s">
        <v>125</v>
      </c>
    </row>
    <row r="1923" ht="15" customHeight="1">
      <c r="A1923" s="7">
        <v>1921</v>
      </c>
      <c r="B1923" s="18">
        <v>0.6449</v>
      </c>
      <c r="C1923" s="18">
        <v>0.8758</v>
      </c>
      <c r="D1923" s="16">
        <v>25692.65</v>
      </c>
      <c r="E1923" s="18">
        <v>0.8679</v>
      </c>
      <c r="F1923" s="18">
        <v>0.0877</v>
      </c>
      <c r="G1923" s="16">
        <v>2425974.83</v>
      </c>
      <c r="H1923" s="16">
        <v>2925704.34</v>
      </c>
      <c r="I1923" s="7" t="s">
        <v>125</v>
      </c>
    </row>
    <row r="1924" ht="15" customHeight="1">
      <c r="A1924" s="8">
        <v>1922</v>
      </c>
      <c r="B1924" s="19">
        <v>0.5017</v>
      </c>
      <c r="C1924" s="19">
        <v>1.0142</v>
      </c>
      <c r="D1924" s="17">
        <v>22556.24</v>
      </c>
      <c r="E1924" s="19">
        <v>0.8778</v>
      </c>
      <c r="F1924" s="19">
        <v>0.1073</v>
      </c>
      <c r="G1924" s="17">
        <v>2290562.05</v>
      </c>
      <c r="H1924" s="17">
        <v>2770957.76</v>
      </c>
      <c r="I1924" s="8" t="s">
        <v>125</v>
      </c>
    </row>
    <row r="1925" ht="15" customHeight="1">
      <c r="A1925" s="7">
        <v>1923</v>
      </c>
      <c r="B1925" s="18">
        <v>0.4347</v>
      </c>
      <c r="C1925" s="18">
        <v>1.1652</v>
      </c>
      <c r="D1925" s="16">
        <v>23432.23</v>
      </c>
      <c r="E1925" s="18">
        <v>0.8485</v>
      </c>
      <c r="F1925" s="18">
        <v>0.0861</v>
      </c>
      <c r="G1925" s="16">
        <v>2048994.85</v>
      </c>
      <c r="H1925" s="16">
        <v>2480723.35</v>
      </c>
      <c r="I1925" s="7" t="s">
        <v>125</v>
      </c>
    </row>
    <row r="1926" ht="15" customHeight="1">
      <c r="A1926" s="8">
        <v>1924</v>
      </c>
      <c r="B1926" s="19">
        <v>0.7503</v>
      </c>
      <c r="C1926" s="19">
        <v>1.0408</v>
      </c>
      <c r="D1926" s="17">
        <v>29547.85</v>
      </c>
      <c r="E1926" s="19">
        <v>0.8681</v>
      </c>
      <c r="F1926" s="19">
        <v>0.0728</v>
      </c>
      <c r="G1926" s="17">
        <v>3575835.68</v>
      </c>
      <c r="H1926" s="17">
        <v>4274780.98</v>
      </c>
      <c r="I1926" s="8" t="s">
        <v>125</v>
      </c>
    </row>
    <row r="1927" ht="15" customHeight="1">
      <c r="A1927" s="7">
        <v>1925</v>
      </c>
      <c r="B1927" s="18">
        <v>0.5782</v>
      </c>
      <c r="C1927" s="18">
        <v>1.0111</v>
      </c>
      <c r="D1927" s="16">
        <v>27770.55</v>
      </c>
      <c r="E1927" s="18">
        <v>0.8838</v>
      </c>
      <c r="F1927" s="18">
        <v>0.0812</v>
      </c>
      <c r="G1927" s="16">
        <v>2522241.15</v>
      </c>
      <c r="H1927" s="16">
        <v>3037501.24</v>
      </c>
      <c r="I1927" s="7" t="s">
        <v>125</v>
      </c>
    </row>
    <row r="1928" ht="15" customHeight="1">
      <c r="A1928" s="8">
        <v>1926</v>
      </c>
      <c r="B1928" s="19">
        <v>0.6792</v>
      </c>
      <c r="C1928" s="19">
        <v>1.1381</v>
      </c>
      <c r="D1928" s="17">
        <v>32883.98</v>
      </c>
      <c r="E1928" s="19">
        <v>0.8488</v>
      </c>
      <c r="F1928" s="19">
        <v>0.1342</v>
      </c>
      <c r="G1928" s="17">
        <v>3712226.21</v>
      </c>
      <c r="H1928" s="17">
        <v>4461970.48</v>
      </c>
      <c r="I1928" s="8" t="s">
        <v>125</v>
      </c>
    </row>
    <row r="1929" ht="15" customHeight="1">
      <c r="A1929" s="7">
        <v>1927</v>
      </c>
      <c r="B1929" s="18">
        <v>0.6597</v>
      </c>
      <c r="C1929" s="18">
        <v>0.9252</v>
      </c>
      <c r="D1929" s="16">
        <v>28526.36</v>
      </c>
      <c r="E1929" s="18">
        <v>0.9006</v>
      </c>
      <c r="F1929" s="18">
        <v>0.0871</v>
      </c>
      <c r="G1929" s="16">
        <v>2767263.71</v>
      </c>
      <c r="H1929" s="16">
        <v>3328121.26</v>
      </c>
      <c r="I1929" s="7" t="s">
        <v>125</v>
      </c>
    </row>
    <row r="1930" ht="15" customHeight="1">
      <c r="A1930" s="8">
        <v>1928</v>
      </c>
      <c r="B1930" s="19">
        <v>0.7717</v>
      </c>
      <c r="C1930" s="19">
        <v>1.1316</v>
      </c>
      <c r="D1930" s="17">
        <v>24495</v>
      </c>
      <c r="E1930" s="19">
        <v>0.9414</v>
      </c>
      <c r="F1930" s="19">
        <v>0.102</v>
      </c>
      <c r="G1930" s="17">
        <v>4991505.86</v>
      </c>
      <c r="H1930" s="17">
        <v>5954474.84</v>
      </c>
      <c r="I1930" s="8" t="s">
        <v>125</v>
      </c>
    </row>
    <row r="1931" ht="15" customHeight="1">
      <c r="A1931" s="7">
        <v>1929</v>
      </c>
      <c r="B1931" s="18">
        <v>0.475</v>
      </c>
      <c r="C1931" s="18">
        <v>0.7506</v>
      </c>
      <c r="D1931" s="16">
        <v>38473.5</v>
      </c>
      <c r="E1931" s="18">
        <v>0.9116</v>
      </c>
      <c r="F1931" s="18">
        <v>0.0641</v>
      </c>
      <c r="G1931" s="16">
        <v>757469.84</v>
      </c>
      <c r="H1931" s="16">
        <v>958902.74</v>
      </c>
      <c r="I1931" s="7" t="s">
        <v>125</v>
      </c>
    </row>
    <row r="1932" ht="15" customHeight="1">
      <c r="A1932" s="8">
        <v>1930</v>
      </c>
      <c r="B1932" s="19">
        <v>0.4541</v>
      </c>
      <c r="C1932" s="19">
        <v>0.9781</v>
      </c>
      <c r="D1932" s="17">
        <v>29517.02</v>
      </c>
      <c r="E1932" s="19">
        <v>0.9379</v>
      </c>
      <c r="F1932" s="19">
        <v>0.0831</v>
      </c>
      <c r="G1932" s="17">
        <v>1753473.33</v>
      </c>
      <c r="H1932" s="17">
        <v>2133330.51</v>
      </c>
      <c r="I1932" s="8" t="s">
        <v>125</v>
      </c>
    </row>
    <row r="1933" ht="15" customHeight="1">
      <c r="A1933" s="7">
        <v>1931</v>
      </c>
      <c r="B1933" s="18">
        <v>0.6029</v>
      </c>
      <c r="C1933" s="18">
        <v>1.1614</v>
      </c>
      <c r="D1933" s="16">
        <v>27628.35</v>
      </c>
      <c r="E1933" s="18">
        <v>0.9614</v>
      </c>
      <c r="F1933" s="18">
        <v>0.1275</v>
      </c>
      <c r="G1933" s="16">
        <v>3960537.29</v>
      </c>
      <c r="H1933" s="16">
        <v>4750708.27</v>
      </c>
      <c r="I1933" s="7" t="s">
        <v>125</v>
      </c>
    </row>
    <row r="1934" ht="15" customHeight="1">
      <c r="A1934" s="8">
        <v>1932</v>
      </c>
      <c r="B1934" s="19">
        <v>0.4986</v>
      </c>
      <c r="C1934" s="19">
        <v>0.5966</v>
      </c>
      <c r="D1934" s="17">
        <v>27215.7</v>
      </c>
      <c r="E1934" s="19">
        <v>0.8913</v>
      </c>
      <c r="F1934" s="19">
        <v>0.0979</v>
      </c>
      <c r="G1934" s="17">
        <v>767532.78</v>
      </c>
      <c r="H1934" s="17">
        <v>974405.04</v>
      </c>
      <c r="I1934" s="8" t="s">
        <v>125</v>
      </c>
    </row>
    <row r="1935" ht="15" customHeight="1">
      <c r="A1935" s="7">
        <v>1933</v>
      </c>
      <c r="B1935" s="18">
        <v>0.6678</v>
      </c>
      <c r="C1935" s="18">
        <v>1.297</v>
      </c>
      <c r="D1935" s="16">
        <v>30127.66</v>
      </c>
      <c r="E1935" s="18">
        <v>0.7774</v>
      </c>
      <c r="F1935" s="18">
        <v>0.1448</v>
      </c>
      <c r="G1935" s="16">
        <v>4002430.09</v>
      </c>
      <c r="H1935" s="16">
        <v>4808444.02</v>
      </c>
      <c r="I1935" s="7" t="s">
        <v>125</v>
      </c>
    </row>
    <row r="1936" ht="15" customHeight="1">
      <c r="A1936" s="8">
        <v>1934</v>
      </c>
      <c r="B1936" s="19">
        <v>0.7136</v>
      </c>
      <c r="C1936" s="19">
        <v>1.0019</v>
      </c>
      <c r="D1936" s="17">
        <v>33143.04</v>
      </c>
      <c r="E1936" s="19">
        <v>0.8115</v>
      </c>
      <c r="F1936" s="19">
        <v>0.0986</v>
      </c>
      <c r="G1936" s="17">
        <v>2912634.9</v>
      </c>
      <c r="H1936" s="17">
        <v>3504600.73</v>
      </c>
      <c r="I1936" s="8" t="s">
        <v>125</v>
      </c>
    </row>
    <row r="1937" ht="15" customHeight="1">
      <c r="A1937" s="7">
        <v>1935</v>
      </c>
      <c r="B1937" s="18">
        <v>0.6014</v>
      </c>
      <c r="C1937" s="18">
        <v>1.0093</v>
      </c>
      <c r="D1937" s="16">
        <v>27519.01</v>
      </c>
      <c r="E1937" s="18">
        <v>0.8625</v>
      </c>
      <c r="F1937" s="18">
        <v>0.0382</v>
      </c>
      <c r="G1937" s="16">
        <v>2367455.97</v>
      </c>
      <c r="H1937" s="16">
        <v>2841917.81</v>
      </c>
      <c r="I1937" s="7" t="s">
        <v>125</v>
      </c>
    </row>
    <row r="1938" ht="15" customHeight="1">
      <c r="A1938" s="8">
        <v>1936</v>
      </c>
      <c r="B1938" s="19">
        <v>0.6782</v>
      </c>
      <c r="C1938" s="19">
        <v>0.7963</v>
      </c>
      <c r="D1938" s="17">
        <v>24329.78</v>
      </c>
      <c r="E1938" s="19">
        <v>0.9113</v>
      </c>
      <c r="F1938" s="19">
        <v>0.1145</v>
      </c>
      <c r="G1938" s="17">
        <v>2611289.16</v>
      </c>
      <c r="H1938" s="17">
        <v>3151975.8</v>
      </c>
      <c r="I1938" s="8" t="s">
        <v>125</v>
      </c>
    </row>
    <row r="1939" ht="15" customHeight="1">
      <c r="A1939" s="7">
        <v>1937</v>
      </c>
      <c r="B1939" s="18">
        <v>0.6484</v>
      </c>
      <c r="C1939" s="18">
        <v>1.3375</v>
      </c>
      <c r="D1939" s="16">
        <v>28078.5</v>
      </c>
      <c r="E1939" s="18">
        <v>0.8354</v>
      </c>
      <c r="F1939" s="18">
        <v>0.0963</v>
      </c>
      <c r="G1939" s="16">
        <v>4117125.43</v>
      </c>
      <c r="H1939" s="16">
        <v>4922002.19</v>
      </c>
      <c r="I1939" s="7" t="s">
        <v>125</v>
      </c>
    </row>
    <row r="1940" ht="15" customHeight="1">
      <c r="A1940" s="8">
        <v>1938</v>
      </c>
      <c r="B1940" s="19">
        <v>0.36</v>
      </c>
      <c r="C1940" s="19">
        <v>1.2321</v>
      </c>
      <c r="D1940" s="17">
        <v>27909.31</v>
      </c>
      <c r="E1940" s="19">
        <v>0.8719</v>
      </c>
      <c r="F1940" s="19">
        <v>0.1081</v>
      </c>
      <c r="G1940" s="17">
        <v>1681321.05</v>
      </c>
      <c r="H1940" s="17">
        <v>2054103.67</v>
      </c>
      <c r="I1940" s="8" t="s">
        <v>125</v>
      </c>
    </row>
    <row r="1941" ht="15" customHeight="1">
      <c r="A1941" s="7">
        <v>1939</v>
      </c>
      <c r="B1941" s="18">
        <v>0.3806</v>
      </c>
      <c r="C1941" s="18">
        <v>1.1527</v>
      </c>
      <c r="D1941" s="16">
        <v>22469.81</v>
      </c>
      <c r="E1941" s="18">
        <v>0.9167</v>
      </c>
      <c r="F1941" s="18">
        <v>0.1111</v>
      </c>
      <c r="G1941" s="16">
        <v>1976325.46</v>
      </c>
      <c r="H1941" s="16">
        <v>2401245.81</v>
      </c>
      <c r="I1941" s="7" t="s">
        <v>125</v>
      </c>
    </row>
    <row r="1942" ht="15" customHeight="1">
      <c r="A1942" s="8">
        <v>1940</v>
      </c>
      <c r="B1942" s="19">
        <v>0.7033</v>
      </c>
      <c r="C1942" s="19">
        <v>0.7932</v>
      </c>
      <c r="D1942" s="17">
        <v>24554.91</v>
      </c>
      <c r="E1942" s="19">
        <v>0.9285</v>
      </c>
      <c r="F1942" s="19">
        <v>0.1123</v>
      </c>
      <c r="G1942" s="17">
        <v>2787439.09</v>
      </c>
      <c r="H1942" s="17">
        <v>3359200.76</v>
      </c>
      <c r="I1942" s="8" t="s">
        <v>125</v>
      </c>
    </row>
    <row r="1943" ht="15" customHeight="1">
      <c r="A1943" s="7">
        <v>1941</v>
      </c>
      <c r="B1943" s="18">
        <v>0.602</v>
      </c>
      <c r="C1943" s="18">
        <v>1.0932</v>
      </c>
      <c r="D1943" s="16">
        <v>22102.97</v>
      </c>
      <c r="E1943" s="18">
        <v>0.9723</v>
      </c>
      <c r="F1943" s="18">
        <v>0.0865</v>
      </c>
      <c r="G1943" s="16">
        <v>3617498.63</v>
      </c>
      <c r="H1943" s="16">
        <v>4327762.88</v>
      </c>
      <c r="I1943" s="7" t="s">
        <v>125</v>
      </c>
    </row>
    <row r="1944" ht="15" customHeight="1">
      <c r="A1944" s="8">
        <v>1942</v>
      </c>
      <c r="B1944" s="19">
        <v>0.721</v>
      </c>
      <c r="C1944" s="19">
        <v>0.8632</v>
      </c>
      <c r="D1944" s="17">
        <v>34305.92</v>
      </c>
      <c r="E1944" s="19">
        <v>0.8936</v>
      </c>
      <c r="F1944" s="19">
        <v>0.1501</v>
      </c>
      <c r="G1944" s="17">
        <v>2984787.26</v>
      </c>
      <c r="H1944" s="17">
        <v>3608516.12</v>
      </c>
      <c r="I1944" s="8" t="s">
        <v>125</v>
      </c>
    </row>
    <row r="1945" ht="15" customHeight="1">
      <c r="A1945" s="7">
        <v>1943</v>
      </c>
      <c r="B1945" s="18">
        <v>0.8028</v>
      </c>
      <c r="C1945" s="18">
        <v>1.2066</v>
      </c>
      <c r="D1945" s="16">
        <v>22949.02</v>
      </c>
      <c r="E1945" s="18">
        <v>0.8911</v>
      </c>
      <c r="F1945" s="18">
        <v>0.1249</v>
      </c>
      <c r="G1945" s="16">
        <v>5538033.53</v>
      </c>
      <c r="H1945" s="16">
        <v>6610917.96</v>
      </c>
      <c r="I1945" s="7" t="s">
        <v>125</v>
      </c>
    </row>
    <row r="1946" ht="15" customHeight="1">
      <c r="A1946" s="8">
        <v>1944</v>
      </c>
      <c r="B1946" s="19">
        <v>0.7114</v>
      </c>
      <c r="C1946" s="19">
        <v>0.5759</v>
      </c>
      <c r="D1946" s="17">
        <v>31458.13</v>
      </c>
      <c r="E1946" s="19">
        <v>0.9265</v>
      </c>
      <c r="F1946" s="19">
        <v>0.0484</v>
      </c>
      <c r="G1946" s="17">
        <v>1302389.16</v>
      </c>
      <c r="H1946" s="17">
        <v>1594815.13</v>
      </c>
      <c r="I1946" s="8" t="s">
        <v>125</v>
      </c>
    </row>
    <row r="1947" ht="15" customHeight="1">
      <c r="A1947" s="7">
        <v>1945</v>
      </c>
      <c r="B1947" s="18">
        <v>0.5465</v>
      </c>
      <c r="C1947" s="18">
        <v>1.1366</v>
      </c>
      <c r="D1947" s="16">
        <v>29046.49</v>
      </c>
      <c r="E1947" s="18">
        <v>0.8519</v>
      </c>
      <c r="F1947" s="18">
        <v>0.0411</v>
      </c>
      <c r="G1947" s="16">
        <v>2372697.67</v>
      </c>
      <c r="H1947" s="16">
        <v>2849154.23</v>
      </c>
      <c r="I1947" s="7" t="s">
        <v>125</v>
      </c>
    </row>
    <row r="1948" ht="15" customHeight="1">
      <c r="A1948" s="8">
        <v>1946</v>
      </c>
      <c r="B1948" s="19">
        <v>0.5035</v>
      </c>
      <c r="C1948" s="19">
        <v>1.0918</v>
      </c>
      <c r="D1948" s="17">
        <v>25166.33</v>
      </c>
      <c r="E1948" s="19">
        <v>0.884</v>
      </c>
      <c r="F1948" s="19">
        <v>0.0514</v>
      </c>
      <c r="G1948" s="17">
        <v>2243495.33</v>
      </c>
      <c r="H1948" s="17">
        <v>2700100.38</v>
      </c>
      <c r="I1948" s="8" t="s">
        <v>125</v>
      </c>
    </row>
    <row r="1949" ht="15" customHeight="1">
      <c r="A1949" s="7">
        <v>1947</v>
      </c>
      <c r="B1949" s="18">
        <v>0.5981</v>
      </c>
      <c r="C1949" s="18">
        <v>1.0144</v>
      </c>
      <c r="D1949" s="16">
        <v>24348.15</v>
      </c>
      <c r="E1949" s="18">
        <v>0.9128</v>
      </c>
      <c r="F1949" s="18">
        <v>0.1722</v>
      </c>
      <c r="G1949" s="16">
        <v>3398070.41</v>
      </c>
      <c r="H1949" s="16">
        <v>4101374.54</v>
      </c>
      <c r="I1949" s="7" t="s">
        <v>125</v>
      </c>
    </row>
    <row r="1950" ht="15" customHeight="1">
      <c r="A1950" s="8">
        <v>1948</v>
      </c>
      <c r="B1950" s="19">
        <v>0.4</v>
      </c>
      <c r="C1950" s="19">
        <v>1.1152</v>
      </c>
      <c r="D1950" s="17">
        <v>26037.16</v>
      </c>
      <c r="E1950" s="19">
        <v>0.8187</v>
      </c>
      <c r="F1950" s="19">
        <v>0.0163</v>
      </c>
      <c r="G1950" s="17">
        <v>1261955.62</v>
      </c>
      <c r="H1950" s="17">
        <v>1539695.36</v>
      </c>
      <c r="I1950" s="8" t="s">
        <v>125</v>
      </c>
    </row>
    <row r="1951" ht="15" customHeight="1">
      <c r="A1951" s="7">
        <v>1949</v>
      </c>
      <c r="B1951" s="18">
        <v>0.6819</v>
      </c>
      <c r="C1951" s="18">
        <v>0.7865</v>
      </c>
      <c r="D1951" s="16">
        <v>26846.67</v>
      </c>
      <c r="E1951" s="18">
        <v>0.7794</v>
      </c>
      <c r="F1951" s="18">
        <v>0.0584</v>
      </c>
      <c r="G1951" s="16">
        <v>1747859.44</v>
      </c>
      <c r="H1951" s="16">
        <v>2119903.07</v>
      </c>
      <c r="I1951" s="7" t="s">
        <v>125</v>
      </c>
    </row>
    <row r="1952" ht="15" customHeight="1">
      <c r="A1952" s="8">
        <v>1950</v>
      </c>
      <c r="B1952" s="19">
        <v>0.3615</v>
      </c>
      <c r="C1952" s="19">
        <v>0.9679</v>
      </c>
      <c r="D1952" s="17">
        <v>32190.01</v>
      </c>
      <c r="E1952" s="19">
        <v>0.9084</v>
      </c>
      <c r="F1952" s="19">
        <v>0.0955</v>
      </c>
      <c r="G1952" s="17">
        <v>996274.65</v>
      </c>
      <c r="H1952" s="17">
        <v>1244852.07</v>
      </c>
      <c r="I1952" s="8" t="s">
        <v>125</v>
      </c>
    </row>
    <row r="1953" ht="15" customHeight="1">
      <c r="A1953" s="7">
        <v>1951</v>
      </c>
      <c r="B1953" s="18">
        <v>0.3453</v>
      </c>
      <c r="C1953" s="18">
        <v>0.7864</v>
      </c>
      <c r="D1953" s="16">
        <v>33437.97</v>
      </c>
      <c r="E1953" s="18">
        <v>0.9274</v>
      </c>
      <c r="F1953" s="18">
        <v>0.1293</v>
      </c>
      <c r="G1953" s="16">
        <v>556662.1</v>
      </c>
      <c r="H1953" s="16">
        <v>732529.79</v>
      </c>
      <c r="I1953" s="7" t="s">
        <v>125</v>
      </c>
    </row>
    <row r="1954" ht="15" customHeight="1">
      <c r="A1954" s="8">
        <v>1952</v>
      </c>
      <c r="B1954" s="19">
        <v>0.5487</v>
      </c>
      <c r="C1954" s="19">
        <v>1.3378</v>
      </c>
      <c r="D1954" s="17">
        <v>28264.56</v>
      </c>
      <c r="E1954" s="19">
        <v>0.871</v>
      </c>
      <c r="F1954" s="19">
        <v>0.0885</v>
      </c>
      <c r="G1954" s="17">
        <v>3436888.34</v>
      </c>
      <c r="H1954" s="17">
        <v>4117270.46</v>
      </c>
      <c r="I1954" s="8" t="s">
        <v>125</v>
      </c>
    </row>
    <row r="1955" ht="15" customHeight="1">
      <c r="A1955" s="7">
        <v>1953</v>
      </c>
      <c r="B1955" s="18">
        <v>0.4848</v>
      </c>
      <c r="C1955" s="18">
        <v>1.0242</v>
      </c>
      <c r="D1955" s="16">
        <v>25998.85</v>
      </c>
      <c r="E1955" s="18">
        <v>0.8402</v>
      </c>
      <c r="F1955" s="18">
        <v>0.0328</v>
      </c>
      <c r="G1955" s="16">
        <v>1669257.32</v>
      </c>
      <c r="H1955" s="16">
        <v>2021050.15</v>
      </c>
      <c r="I1955" s="7" t="s">
        <v>125</v>
      </c>
    </row>
    <row r="1956" ht="15" customHeight="1">
      <c r="A1956" s="8">
        <v>1954</v>
      </c>
      <c r="B1956" s="19">
        <v>0.6139</v>
      </c>
      <c r="C1956" s="19">
        <v>0.9319</v>
      </c>
      <c r="D1956" s="17">
        <v>23508.07</v>
      </c>
      <c r="E1956" s="19">
        <v>0.8231</v>
      </c>
      <c r="F1956" s="19">
        <v>0.0654</v>
      </c>
      <c r="G1956" s="17">
        <v>2252516.33</v>
      </c>
      <c r="H1956" s="17">
        <v>2714522.21</v>
      </c>
      <c r="I1956" s="8" t="s">
        <v>125</v>
      </c>
    </row>
    <row r="1957" ht="15" customHeight="1">
      <c r="A1957" s="7">
        <v>1955</v>
      </c>
      <c r="B1957" s="18">
        <v>0.5789</v>
      </c>
      <c r="C1957" s="18">
        <v>1.1082</v>
      </c>
      <c r="D1957" s="16">
        <v>26904.11</v>
      </c>
      <c r="E1957" s="18">
        <v>0.8347</v>
      </c>
      <c r="F1957" s="18">
        <v>0.1331</v>
      </c>
      <c r="G1957" s="16">
        <v>2956862.8</v>
      </c>
      <c r="H1957" s="16">
        <v>3566853.48</v>
      </c>
      <c r="I1957" s="7" t="s">
        <v>125</v>
      </c>
    </row>
    <row r="1958" ht="15" customHeight="1">
      <c r="A1958" s="8">
        <v>1956</v>
      </c>
      <c r="B1958" s="19">
        <v>0.7858</v>
      </c>
      <c r="C1958" s="19">
        <v>0.922</v>
      </c>
      <c r="D1958" s="17">
        <v>26118.92</v>
      </c>
      <c r="E1958" s="19">
        <v>0.9679</v>
      </c>
      <c r="F1958" s="19">
        <v>0.1287</v>
      </c>
      <c r="G1958" s="17">
        <v>4230391.69</v>
      </c>
      <c r="H1958" s="17">
        <v>5069419.84</v>
      </c>
      <c r="I1958" s="8" t="s">
        <v>125</v>
      </c>
    </row>
    <row r="1959" ht="15" customHeight="1">
      <c r="A1959" s="7">
        <v>1957</v>
      </c>
      <c r="B1959" s="18">
        <v>0.8181</v>
      </c>
      <c r="C1959" s="18">
        <v>1.1415</v>
      </c>
      <c r="D1959" s="16">
        <v>29009.6</v>
      </c>
      <c r="E1959" s="18">
        <v>0.8373</v>
      </c>
      <c r="F1959" s="18">
        <v>0.048</v>
      </c>
      <c r="G1959" s="16">
        <v>4150852.05</v>
      </c>
      <c r="H1959" s="16">
        <v>4939572.61</v>
      </c>
      <c r="I1959" s="7" t="s">
        <v>125</v>
      </c>
    </row>
    <row r="1960" ht="15" customHeight="1">
      <c r="A1960" s="8">
        <v>1958</v>
      </c>
      <c r="B1960" s="19">
        <v>0.7613</v>
      </c>
      <c r="C1960" s="19">
        <v>1.0386</v>
      </c>
      <c r="D1960" s="17">
        <v>30689.82</v>
      </c>
      <c r="E1960" s="19">
        <v>0.907</v>
      </c>
      <c r="F1960" s="19">
        <v>0.0512</v>
      </c>
      <c r="G1960" s="17">
        <v>3674641.26</v>
      </c>
      <c r="H1960" s="17">
        <v>4381964.61</v>
      </c>
      <c r="I1960" s="8" t="s">
        <v>125</v>
      </c>
    </row>
    <row r="1961" ht="15" customHeight="1">
      <c r="A1961" s="7">
        <v>1959</v>
      </c>
      <c r="B1961" s="18">
        <v>0.509</v>
      </c>
      <c r="C1961" s="18">
        <v>0.7132</v>
      </c>
      <c r="D1961" s="16">
        <v>24816.95</v>
      </c>
      <c r="E1961" s="18">
        <v>0.9193</v>
      </c>
      <c r="F1961" s="18">
        <v>0.066</v>
      </c>
      <c r="G1961" s="16">
        <v>1244980.38</v>
      </c>
      <c r="H1961" s="16">
        <v>1530107.85</v>
      </c>
      <c r="I1961" s="7" t="s">
        <v>125</v>
      </c>
    </row>
    <row r="1962" ht="15" customHeight="1">
      <c r="A1962" s="8">
        <v>1960</v>
      </c>
      <c r="B1962" s="19">
        <v>0.7007</v>
      </c>
      <c r="C1962" s="19">
        <v>0.7297</v>
      </c>
      <c r="D1962" s="17">
        <v>25204.28</v>
      </c>
      <c r="E1962" s="19">
        <v>0.9044</v>
      </c>
      <c r="F1962" s="19">
        <v>0.0917</v>
      </c>
      <c r="G1962" s="17">
        <v>2256845.95</v>
      </c>
      <c r="H1962" s="17">
        <v>2727523.18</v>
      </c>
      <c r="I1962" s="8" t="s">
        <v>125</v>
      </c>
    </row>
    <row r="1963" ht="15" customHeight="1">
      <c r="A1963" s="7">
        <v>1961</v>
      </c>
      <c r="B1963" s="18">
        <v>0.5805</v>
      </c>
      <c r="C1963" s="18">
        <v>0.9746</v>
      </c>
      <c r="D1963" s="16">
        <v>27217.16</v>
      </c>
      <c r="E1963" s="18">
        <v>0.9324</v>
      </c>
      <c r="F1963" s="18">
        <v>0.0983</v>
      </c>
      <c r="G1963" s="16">
        <v>2704835.33</v>
      </c>
      <c r="H1963" s="16">
        <v>3257979.39</v>
      </c>
      <c r="I1963" s="7" t="s">
        <v>125</v>
      </c>
    </row>
    <row r="1964" ht="15" customHeight="1">
      <c r="A1964" s="8">
        <v>1962</v>
      </c>
      <c r="B1964" s="19">
        <v>0.5542</v>
      </c>
      <c r="C1964" s="19">
        <v>1.1441</v>
      </c>
      <c r="D1964" s="17">
        <v>17535.65</v>
      </c>
      <c r="E1964" s="19">
        <v>0.785</v>
      </c>
      <c r="F1964" s="19">
        <v>0.0609</v>
      </c>
      <c r="G1964" s="17">
        <v>2604095.48</v>
      </c>
      <c r="H1964" s="17">
        <v>3125524.68</v>
      </c>
      <c r="I1964" s="8" t="s">
        <v>125</v>
      </c>
    </row>
    <row r="1965" ht="15" customHeight="1">
      <c r="A1965" s="7">
        <v>1963</v>
      </c>
      <c r="B1965" s="18">
        <v>0.6773</v>
      </c>
      <c r="C1965" s="18">
        <v>0.9512</v>
      </c>
      <c r="D1965" s="16">
        <v>25822.35</v>
      </c>
      <c r="E1965" s="18">
        <v>0.969</v>
      </c>
      <c r="F1965" s="18">
        <v>0.1142</v>
      </c>
      <c r="G1965" s="16">
        <v>3558777.37</v>
      </c>
      <c r="H1965" s="16">
        <v>4270395.63</v>
      </c>
      <c r="I1965" s="7" t="s">
        <v>125</v>
      </c>
    </row>
    <row r="1966" ht="15" customHeight="1">
      <c r="A1966" s="8">
        <v>1964</v>
      </c>
      <c r="B1966" s="19">
        <v>0.5978</v>
      </c>
      <c r="C1966" s="19">
        <v>0.8778</v>
      </c>
      <c r="D1966" s="17">
        <v>31297.97</v>
      </c>
      <c r="E1966" s="19">
        <v>0.8704</v>
      </c>
      <c r="F1966" s="19">
        <v>0.0645</v>
      </c>
      <c r="G1966" s="17">
        <v>1908765.21</v>
      </c>
      <c r="H1966" s="17">
        <v>2311440.45</v>
      </c>
      <c r="I1966" s="8" t="s">
        <v>125</v>
      </c>
    </row>
    <row r="1967" ht="15" customHeight="1">
      <c r="A1967" s="7">
        <v>1965</v>
      </c>
      <c r="B1967" s="18">
        <v>0.5875</v>
      </c>
      <c r="C1967" s="18">
        <v>1.2058</v>
      </c>
      <c r="D1967" s="16">
        <v>25112.48</v>
      </c>
      <c r="E1967" s="18">
        <v>0.931</v>
      </c>
      <c r="F1967" s="18">
        <v>0.1143</v>
      </c>
      <c r="G1967" s="16">
        <v>3846371.47</v>
      </c>
      <c r="H1967" s="16">
        <v>4609592.93</v>
      </c>
      <c r="I1967" s="7" t="s">
        <v>125</v>
      </c>
    </row>
    <row r="1968" ht="15" customHeight="1">
      <c r="A1968" s="8">
        <v>1966</v>
      </c>
      <c r="B1968" s="19">
        <v>0.6887</v>
      </c>
      <c r="C1968" s="19">
        <v>1.2743</v>
      </c>
      <c r="D1968" s="17">
        <v>31157.38</v>
      </c>
      <c r="E1968" s="19">
        <v>0.9637</v>
      </c>
      <c r="F1968" s="19">
        <v>0.1125</v>
      </c>
      <c r="G1968" s="17">
        <v>5048648.41</v>
      </c>
      <c r="H1968" s="17">
        <v>6029214.02</v>
      </c>
      <c r="I1968" s="8" t="s">
        <v>125</v>
      </c>
    </row>
    <row r="1969" ht="15" customHeight="1">
      <c r="A1969" s="7">
        <v>1967</v>
      </c>
      <c r="B1969" s="18">
        <v>0.4119</v>
      </c>
      <c r="C1969" s="18">
        <v>1.1819</v>
      </c>
      <c r="D1969" s="16">
        <v>27501.4</v>
      </c>
      <c r="E1969" s="18">
        <v>0.8946</v>
      </c>
      <c r="F1969" s="18">
        <v>0.1114</v>
      </c>
      <c r="G1969" s="16">
        <v>2073033.2</v>
      </c>
      <c r="H1969" s="16">
        <v>2516919.9</v>
      </c>
      <c r="I1969" s="7" t="s">
        <v>125</v>
      </c>
    </row>
    <row r="1970" ht="15" customHeight="1">
      <c r="A1970" s="8">
        <v>1968</v>
      </c>
      <c r="B1970" s="19">
        <v>0.7842</v>
      </c>
      <c r="C1970" s="19">
        <v>1.2612</v>
      </c>
      <c r="D1970" s="17">
        <v>33227.8</v>
      </c>
      <c r="E1970" s="19">
        <v>0.8251</v>
      </c>
      <c r="F1970" s="19">
        <v>0.0641</v>
      </c>
      <c r="G1970" s="17">
        <v>4380583.46</v>
      </c>
      <c r="H1970" s="17">
        <v>5218021.21</v>
      </c>
      <c r="I1970" s="8" t="s">
        <v>125</v>
      </c>
    </row>
    <row r="1971" ht="15" customHeight="1">
      <c r="A1971" s="7">
        <v>1969</v>
      </c>
      <c r="B1971" s="18">
        <v>0.6282</v>
      </c>
      <c r="C1971" s="18">
        <v>0.9202</v>
      </c>
      <c r="D1971" s="16">
        <v>39196.43</v>
      </c>
      <c r="E1971" s="18">
        <v>0.8473</v>
      </c>
      <c r="F1971" s="18">
        <v>0.0798</v>
      </c>
      <c r="G1971" s="16">
        <v>1970204.67</v>
      </c>
      <c r="H1971" s="16">
        <v>2389725.98</v>
      </c>
      <c r="I1971" s="7" t="s">
        <v>125</v>
      </c>
    </row>
    <row r="1972" ht="15" customHeight="1">
      <c r="A1972" s="8">
        <v>1970</v>
      </c>
      <c r="B1972" s="19">
        <v>0.6534</v>
      </c>
      <c r="C1972" s="19">
        <v>1.2443</v>
      </c>
      <c r="D1972" s="17">
        <v>24969.8</v>
      </c>
      <c r="E1972" s="19">
        <v>0.8551</v>
      </c>
      <c r="F1972" s="19">
        <v>0.0938</v>
      </c>
      <c r="G1972" s="17">
        <v>3979937.39</v>
      </c>
      <c r="H1972" s="17">
        <v>4758410.15</v>
      </c>
      <c r="I1972" s="8" t="s">
        <v>125</v>
      </c>
    </row>
    <row r="1973" ht="15" customHeight="1">
      <c r="A1973" s="7">
        <v>1971</v>
      </c>
      <c r="B1973" s="18">
        <v>0.5411</v>
      </c>
      <c r="C1973" s="18">
        <v>1.072</v>
      </c>
      <c r="D1973" s="16">
        <v>28368.34</v>
      </c>
      <c r="E1973" s="18">
        <v>0.8819</v>
      </c>
      <c r="F1973" s="18">
        <v>0.1688</v>
      </c>
      <c r="G1973" s="16">
        <v>2913838.09</v>
      </c>
      <c r="H1973" s="16">
        <v>3528408.51</v>
      </c>
      <c r="I1973" s="7" t="s">
        <v>125</v>
      </c>
    </row>
    <row r="1974" ht="15" customHeight="1">
      <c r="A1974" s="8">
        <v>1972</v>
      </c>
      <c r="B1974" s="19">
        <v>0.7014</v>
      </c>
      <c r="C1974" s="19">
        <v>1.1225</v>
      </c>
      <c r="D1974" s="17">
        <v>15286.76</v>
      </c>
      <c r="E1974" s="19">
        <v>0.922</v>
      </c>
      <c r="F1974" s="19">
        <v>0.0491</v>
      </c>
      <c r="G1974" s="17">
        <v>4194160.3</v>
      </c>
      <c r="H1974" s="17">
        <v>4989106.51</v>
      </c>
      <c r="I1974" s="8" t="s">
        <v>125</v>
      </c>
    </row>
    <row r="1975" ht="15" customHeight="1">
      <c r="A1975" s="7">
        <v>1973</v>
      </c>
      <c r="B1975" s="18">
        <v>0.3757</v>
      </c>
      <c r="C1975" s="18">
        <v>1.1741</v>
      </c>
      <c r="D1975" s="16">
        <v>28604.81</v>
      </c>
      <c r="E1975" s="18">
        <v>0.8004</v>
      </c>
      <c r="F1975" s="18">
        <v>0.123</v>
      </c>
      <c r="G1975" s="16">
        <v>1460198.44</v>
      </c>
      <c r="H1975" s="16">
        <v>1796799.01</v>
      </c>
      <c r="I1975" s="7" t="s">
        <v>125</v>
      </c>
    </row>
    <row r="1976" ht="15" customHeight="1">
      <c r="A1976" s="8">
        <v>1974</v>
      </c>
      <c r="B1976" s="19">
        <v>0.4533</v>
      </c>
      <c r="C1976" s="19">
        <v>0.9777</v>
      </c>
      <c r="D1976" s="17">
        <v>30033.51</v>
      </c>
      <c r="E1976" s="19">
        <v>0.8168</v>
      </c>
      <c r="F1976" s="19">
        <v>0.015</v>
      </c>
      <c r="G1976" s="17">
        <v>1113528.23</v>
      </c>
      <c r="H1976" s="17">
        <v>1365706.57</v>
      </c>
      <c r="I1976" s="8" t="s">
        <v>125</v>
      </c>
    </row>
    <row r="1977" ht="15" customHeight="1">
      <c r="A1977" s="7">
        <v>1975</v>
      </c>
      <c r="B1977" s="18">
        <v>0.5327</v>
      </c>
      <c r="C1977" s="18">
        <v>0.9111</v>
      </c>
      <c r="D1977" s="16">
        <v>26576.06</v>
      </c>
      <c r="E1977" s="18">
        <v>0.8818</v>
      </c>
      <c r="F1977" s="18">
        <v>0.0807</v>
      </c>
      <c r="G1977" s="16">
        <v>1917365.11</v>
      </c>
      <c r="H1977" s="16">
        <v>2325006.59</v>
      </c>
      <c r="I1977" s="7" t="s">
        <v>125</v>
      </c>
    </row>
    <row r="1978" ht="15" customHeight="1">
      <c r="A1978" s="8">
        <v>1976</v>
      </c>
      <c r="B1978" s="19">
        <v>0.4062</v>
      </c>
      <c r="C1978" s="19">
        <v>0.7349</v>
      </c>
      <c r="D1978" s="17">
        <v>20180.59</v>
      </c>
      <c r="E1978" s="19">
        <v>0.8768</v>
      </c>
      <c r="F1978" s="19">
        <v>0.0607</v>
      </c>
      <c r="G1978" s="17">
        <v>865717.33</v>
      </c>
      <c r="H1978" s="17">
        <v>1082430.59</v>
      </c>
      <c r="I1978" s="8" t="s">
        <v>125</v>
      </c>
    </row>
    <row r="1979" ht="15" customHeight="1">
      <c r="A1979" s="7">
        <v>1977</v>
      </c>
      <c r="B1979" s="18">
        <v>0.6304</v>
      </c>
      <c r="C1979" s="18">
        <v>1.0685</v>
      </c>
      <c r="D1979" s="16">
        <v>33386.42</v>
      </c>
      <c r="E1979" s="18">
        <v>0.9676</v>
      </c>
      <c r="F1979" s="18">
        <v>0.0907</v>
      </c>
      <c r="G1979" s="16">
        <v>3383263.06</v>
      </c>
      <c r="H1979" s="16">
        <v>4056245.6</v>
      </c>
      <c r="I1979" s="7" t="s">
        <v>125</v>
      </c>
    </row>
    <row r="1980" ht="15" customHeight="1">
      <c r="A1980" s="8">
        <v>1978</v>
      </c>
      <c r="B1980" s="19">
        <v>0.7278</v>
      </c>
      <c r="C1980" s="19">
        <v>1.245</v>
      </c>
      <c r="D1980" s="17">
        <v>32543.26</v>
      </c>
      <c r="E1980" s="19">
        <v>0.868</v>
      </c>
      <c r="F1980" s="19">
        <v>0.0781</v>
      </c>
      <c r="G1980" s="17">
        <v>4298072.74</v>
      </c>
      <c r="H1980" s="17">
        <v>5127677.2</v>
      </c>
      <c r="I1980" s="8" t="s">
        <v>125</v>
      </c>
    </row>
    <row r="1981" ht="15" customHeight="1">
      <c r="A1981" s="7">
        <v>1979</v>
      </c>
      <c r="B1981" s="18">
        <v>0.7204</v>
      </c>
      <c r="C1981" s="18">
        <v>1.0196</v>
      </c>
      <c r="D1981" s="16">
        <v>33942.8</v>
      </c>
      <c r="E1981" s="18">
        <v>0.9228</v>
      </c>
      <c r="F1981" s="18">
        <v>0.0871</v>
      </c>
      <c r="G1981" s="16">
        <v>3532695.26</v>
      </c>
      <c r="H1981" s="16">
        <v>4230900.48</v>
      </c>
      <c r="I1981" s="7" t="s">
        <v>125</v>
      </c>
    </row>
    <row r="1982" ht="15" customHeight="1">
      <c r="A1982" s="8">
        <v>1980</v>
      </c>
      <c r="B1982" s="19">
        <v>0.5852</v>
      </c>
      <c r="C1982" s="19">
        <v>1.1607</v>
      </c>
      <c r="D1982" s="17">
        <v>32232.69</v>
      </c>
      <c r="E1982" s="19">
        <v>0.9346</v>
      </c>
      <c r="F1982" s="19">
        <v>0.1476</v>
      </c>
      <c r="G1982" s="17">
        <v>3653977.54</v>
      </c>
      <c r="H1982" s="17">
        <v>4398328.25</v>
      </c>
      <c r="I1982" s="8" t="s">
        <v>125</v>
      </c>
    </row>
    <row r="1983" ht="15" customHeight="1">
      <c r="A1983" s="7">
        <v>1981</v>
      </c>
      <c r="B1983" s="18">
        <v>0.6073</v>
      </c>
      <c r="C1983" s="18">
        <v>1.0535</v>
      </c>
      <c r="D1983" s="16">
        <v>19595.99</v>
      </c>
      <c r="E1983" s="18">
        <v>0.8778</v>
      </c>
      <c r="F1983" s="18">
        <v>0.1207</v>
      </c>
      <c r="G1983" s="16">
        <v>3314223.46</v>
      </c>
      <c r="H1983" s="16">
        <v>3982190.7</v>
      </c>
      <c r="I1983" s="7" t="s">
        <v>125</v>
      </c>
    </row>
    <row r="1984" ht="15" customHeight="1">
      <c r="A1984" s="8">
        <v>1982</v>
      </c>
      <c r="B1984" s="19">
        <v>0.61</v>
      </c>
      <c r="C1984" s="19">
        <v>0.8449</v>
      </c>
      <c r="D1984" s="17">
        <v>28710.67</v>
      </c>
      <c r="E1984" s="19">
        <v>0.9219</v>
      </c>
      <c r="F1984" s="19">
        <v>0.1156</v>
      </c>
      <c r="G1984" s="17">
        <v>2352525.29</v>
      </c>
      <c r="H1984" s="17">
        <v>2848268.61</v>
      </c>
      <c r="I1984" s="8" t="s">
        <v>125</v>
      </c>
    </row>
    <row r="1985" ht="15" customHeight="1">
      <c r="A1985" s="7">
        <v>1983</v>
      </c>
      <c r="B1985" s="18">
        <v>0.628</v>
      </c>
      <c r="C1985" s="18">
        <v>1.1926</v>
      </c>
      <c r="D1985" s="16">
        <v>23823.93</v>
      </c>
      <c r="E1985" s="18">
        <v>0.9536</v>
      </c>
      <c r="F1985" s="18">
        <v>0.0673</v>
      </c>
      <c r="G1985" s="16">
        <v>3973948.15</v>
      </c>
      <c r="H1985" s="16">
        <v>4739665.98</v>
      </c>
      <c r="I1985" s="7" t="s">
        <v>125</v>
      </c>
    </row>
    <row r="1986" ht="15" customHeight="1">
      <c r="A1986" s="8">
        <v>1984</v>
      </c>
      <c r="B1986" s="19">
        <v>0.8018</v>
      </c>
      <c r="C1986" s="19">
        <v>0.6843</v>
      </c>
      <c r="D1986" s="17">
        <v>25423.9</v>
      </c>
      <c r="E1986" s="19">
        <v>0.9591</v>
      </c>
      <c r="F1986" s="19">
        <v>0.0958</v>
      </c>
      <c r="G1986" s="17">
        <v>2737458.58</v>
      </c>
      <c r="H1986" s="17">
        <v>3295157.79</v>
      </c>
      <c r="I1986" s="8" t="s">
        <v>125</v>
      </c>
    </row>
    <row r="1987" ht="15" customHeight="1">
      <c r="A1987" s="7">
        <v>1985</v>
      </c>
      <c r="B1987" s="18">
        <v>0.7888</v>
      </c>
      <c r="C1987" s="18">
        <v>1.0181</v>
      </c>
      <c r="D1987" s="16">
        <v>29188.22</v>
      </c>
      <c r="E1987" s="18">
        <v>0.8213</v>
      </c>
      <c r="F1987" s="18">
        <v>0.0759</v>
      </c>
      <c r="G1987" s="16">
        <v>3475431.94</v>
      </c>
      <c r="H1987" s="16">
        <v>4157843.76</v>
      </c>
      <c r="I1987" s="7" t="s">
        <v>125</v>
      </c>
    </row>
    <row r="1988" ht="15" customHeight="1">
      <c r="A1988" s="8">
        <v>1986</v>
      </c>
      <c r="B1988" s="19">
        <v>0.7243</v>
      </c>
      <c r="C1988" s="19">
        <v>0.5798</v>
      </c>
      <c r="D1988" s="17">
        <v>32268.21</v>
      </c>
      <c r="E1988" s="19">
        <v>0.9236</v>
      </c>
      <c r="F1988" s="19">
        <v>0.0875</v>
      </c>
      <c r="G1988" s="17">
        <v>1478114.06</v>
      </c>
      <c r="H1988" s="17">
        <v>1810802.5</v>
      </c>
      <c r="I1988" s="8" t="s">
        <v>125</v>
      </c>
    </row>
    <row r="1989" ht="15" customHeight="1">
      <c r="A1989" s="7">
        <v>1987</v>
      </c>
      <c r="B1989" s="18">
        <v>0.705</v>
      </c>
      <c r="C1989" s="18">
        <v>1.1309</v>
      </c>
      <c r="D1989" s="16">
        <v>31591.54</v>
      </c>
      <c r="E1989" s="18">
        <v>0.8124</v>
      </c>
      <c r="F1989" s="18">
        <v>0.0859</v>
      </c>
      <c r="G1989" s="16">
        <v>3379362.07</v>
      </c>
      <c r="H1989" s="16">
        <v>4049290.24</v>
      </c>
      <c r="I1989" s="7" t="s">
        <v>125</v>
      </c>
    </row>
    <row r="1990" ht="15" customHeight="1">
      <c r="A1990" s="8">
        <v>1988</v>
      </c>
      <c r="B1990" s="19">
        <v>0.6429</v>
      </c>
      <c r="C1990" s="19">
        <v>0.791</v>
      </c>
      <c r="D1990" s="17">
        <v>25720.39</v>
      </c>
      <c r="E1990" s="19">
        <v>0.9076</v>
      </c>
      <c r="F1990" s="19">
        <v>0.1335</v>
      </c>
      <c r="G1990" s="17">
        <v>2424428.96</v>
      </c>
      <c r="H1990" s="17">
        <v>2937450.88</v>
      </c>
      <c r="I1990" s="8" t="s">
        <v>125</v>
      </c>
    </row>
    <row r="1991" ht="15" customHeight="1">
      <c r="A1991" s="7">
        <v>1989</v>
      </c>
      <c r="B1991" s="18">
        <v>0.4449</v>
      </c>
      <c r="C1991" s="18">
        <v>0.9411</v>
      </c>
      <c r="D1991" s="16">
        <v>26324.74</v>
      </c>
      <c r="E1991" s="18">
        <v>0.8014</v>
      </c>
      <c r="F1991" s="18">
        <v>0.0843</v>
      </c>
      <c r="G1991" s="16">
        <v>1270097.13</v>
      </c>
      <c r="H1991" s="16">
        <v>1563739.9</v>
      </c>
      <c r="I1991" s="7" t="s">
        <v>125</v>
      </c>
    </row>
    <row r="1992" ht="15" customHeight="1">
      <c r="A1992" s="8">
        <v>1990</v>
      </c>
      <c r="B1992" s="19">
        <v>0.4718</v>
      </c>
      <c r="C1992" s="19">
        <v>0.8191</v>
      </c>
      <c r="D1992" s="17">
        <v>38445.8</v>
      </c>
      <c r="E1992" s="19">
        <v>0.8877</v>
      </c>
      <c r="F1992" s="19">
        <v>0.1001</v>
      </c>
      <c r="G1992" s="17">
        <v>1003882.48</v>
      </c>
      <c r="H1992" s="17">
        <v>1256411.6</v>
      </c>
      <c r="I1992" s="8" t="s">
        <v>125</v>
      </c>
    </row>
    <row r="1993" ht="15" customHeight="1">
      <c r="A1993" s="7">
        <v>1991</v>
      </c>
      <c r="B1993" s="18">
        <v>0.7073</v>
      </c>
      <c r="C1993" s="18">
        <v>0.719</v>
      </c>
      <c r="D1993" s="16">
        <v>26984.25</v>
      </c>
      <c r="E1993" s="18">
        <v>0.8962</v>
      </c>
      <c r="F1993" s="18">
        <v>0.0445</v>
      </c>
      <c r="G1993" s="16">
        <v>1949305.51</v>
      </c>
      <c r="H1993" s="16">
        <v>2352888.31</v>
      </c>
      <c r="I1993" s="7" t="s">
        <v>125</v>
      </c>
    </row>
    <row r="1994" ht="15" customHeight="1">
      <c r="A1994" s="8">
        <v>1992</v>
      </c>
      <c r="B1994" s="19">
        <v>0.7093</v>
      </c>
      <c r="C1994" s="19">
        <v>1.237</v>
      </c>
      <c r="D1994" s="17">
        <v>37056.32</v>
      </c>
      <c r="E1994" s="19">
        <v>0.9332</v>
      </c>
      <c r="F1994" s="19">
        <v>0.0454</v>
      </c>
      <c r="G1994" s="17">
        <v>4138889.68</v>
      </c>
      <c r="H1994" s="17">
        <v>4925305.74</v>
      </c>
      <c r="I1994" s="8" t="s">
        <v>125</v>
      </c>
    </row>
    <row r="1995" ht="15" customHeight="1">
      <c r="A1995" s="7">
        <v>1993</v>
      </c>
      <c r="B1995" s="18">
        <v>0.7117</v>
      </c>
      <c r="C1995" s="18">
        <v>0.8837</v>
      </c>
      <c r="D1995" s="16">
        <v>31722.31</v>
      </c>
      <c r="E1995" s="18">
        <v>0.8076</v>
      </c>
      <c r="F1995" s="18">
        <v>0.1114</v>
      </c>
      <c r="G1995" s="16">
        <v>2486207.05</v>
      </c>
      <c r="H1995" s="16">
        <v>3005634.34</v>
      </c>
      <c r="I1995" s="7" t="s">
        <v>125</v>
      </c>
    </row>
    <row r="1996" ht="15" customHeight="1">
      <c r="A1996" s="8">
        <v>1994</v>
      </c>
      <c r="B1996" s="19">
        <v>0.6098</v>
      </c>
      <c r="C1996" s="19">
        <v>0.8546</v>
      </c>
      <c r="D1996" s="17">
        <v>27738.27</v>
      </c>
      <c r="E1996" s="19">
        <v>0.8457</v>
      </c>
      <c r="F1996" s="19">
        <v>0.1348</v>
      </c>
      <c r="G1996" s="17">
        <v>2207675.53</v>
      </c>
      <c r="H1996" s="17">
        <v>2682402.06</v>
      </c>
      <c r="I1996" s="8" t="s">
        <v>125</v>
      </c>
    </row>
    <row r="1997" ht="15" customHeight="1">
      <c r="A1997" s="7">
        <v>1995</v>
      </c>
      <c r="B1997" s="18">
        <v>0.5856</v>
      </c>
      <c r="C1997" s="18">
        <v>0.9598</v>
      </c>
      <c r="D1997" s="16">
        <v>29125.61</v>
      </c>
      <c r="E1997" s="18">
        <v>0.8532</v>
      </c>
      <c r="F1997" s="18">
        <v>0.1181</v>
      </c>
      <c r="G1997" s="16">
        <v>2385438.66</v>
      </c>
      <c r="H1997" s="16">
        <v>2888007.81</v>
      </c>
      <c r="I1997" s="7" t="s">
        <v>125</v>
      </c>
    </row>
    <row r="1998" ht="15" customHeight="1">
      <c r="A1998" s="8">
        <v>1996</v>
      </c>
      <c r="B1998" s="19">
        <v>0.4245</v>
      </c>
      <c r="C1998" s="19">
        <v>0.8509</v>
      </c>
      <c r="D1998" s="17">
        <v>33088.32</v>
      </c>
      <c r="E1998" s="19">
        <v>0.9222</v>
      </c>
      <c r="F1998" s="19">
        <v>0.1211</v>
      </c>
      <c r="G1998" s="17">
        <v>1164658.79</v>
      </c>
      <c r="H1998" s="17">
        <v>1448925.73</v>
      </c>
      <c r="I1998" s="8" t="s">
        <v>125</v>
      </c>
    </row>
    <row r="1999" ht="15" customHeight="1">
      <c r="A1999" s="7">
        <v>1997</v>
      </c>
      <c r="B1999" s="18">
        <v>0.6607</v>
      </c>
      <c r="C1999" s="18">
        <v>0.9002</v>
      </c>
      <c r="D1999" s="16">
        <v>31341.13</v>
      </c>
      <c r="E1999" s="18">
        <v>0.8908</v>
      </c>
      <c r="F1999" s="18">
        <v>0.0337</v>
      </c>
      <c r="G1999" s="16">
        <v>2270479.46</v>
      </c>
      <c r="H1999" s="16">
        <v>2727090.65</v>
      </c>
      <c r="I1999" s="7" t="s">
        <v>125</v>
      </c>
    </row>
    <row r="2000" ht="15" customHeight="1">
      <c r="A2000" s="8">
        <v>1998</v>
      </c>
      <c r="B2000" s="19">
        <v>0.6528</v>
      </c>
      <c r="C2000" s="19">
        <v>1.2929</v>
      </c>
      <c r="D2000" s="17">
        <v>27179.14</v>
      </c>
      <c r="E2000" s="19">
        <v>0.9178</v>
      </c>
      <c r="F2000" s="19">
        <v>0.1375</v>
      </c>
      <c r="G2000" s="17">
        <v>4829668.69</v>
      </c>
      <c r="H2000" s="17">
        <v>5781978.07</v>
      </c>
      <c r="I2000" s="8" t="s">
        <v>125</v>
      </c>
    </row>
    <row r="2001" ht="15" customHeight="1">
      <c r="A2001" s="7">
        <v>1999</v>
      </c>
      <c r="B2001" s="18">
        <v>0.6399</v>
      </c>
      <c r="C2001" s="18">
        <v>1.0408</v>
      </c>
      <c r="D2001" s="16">
        <v>22376.61</v>
      </c>
      <c r="E2001" s="18">
        <v>0.8227</v>
      </c>
      <c r="F2001" s="18">
        <v>0.0185</v>
      </c>
      <c r="G2001" s="16">
        <v>2593276.65</v>
      </c>
      <c r="H2001" s="16">
        <v>3099986.35</v>
      </c>
      <c r="I2001" s="7" t="s">
        <v>125</v>
      </c>
    </row>
    <row r="2002" ht="15" customHeight="1">
      <c r="A2002" s="8">
        <v>2000</v>
      </c>
      <c r="B2002" s="19">
        <v>0.5175</v>
      </c>
      <c r="C2002" s="19">
        <v>1.1346</v>
      </c>
      <c r="D2002" s="17">
        <v>24209.43</v>
      </c>
      <c r="E2002" s="19">
        <v>0.844</v>
      </c>
      <c r="F2002" s="19">
        <v>0.0694</v>
      </c>
      <c r="G2002" s="17">
        <v>2423890.03</v>
      </c>
      <c r="H2002" s="17">
        <v>2917375.22</v>
      </c>
      <c r="I2002" s="8" t="s">
        <v>125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73E6858-A24C-3F8D-D1FC-7EA0C7762643}" mc:Ignorable="x14ac xr xr2 xr3">
  <dimension ref="A1:J2006"/>
  <sheetViews>
    <sheetView topLeftCell="A1" workbookViewId="0">
      <pane ySplit="1" topLeftCell="A6" activePane="bottomLeft" state="frozen"/>
      <selection pane="bottomLeft" activeCell="A1" sqref="A1"/>
    </sheetView>
  </sheetViews>
  <sheetFormatPr defaultRowHeight="15" defaultColWidth="9.140625" customHeight="1"/>
  <cols>
    <col min="1" max="1" width="10.00390625" customWidth="1"/>
    <col min="2" max="2" width="16.00390625" customWidth="1"/>
    <col min="3" max="3" width="18.00390625" customWidth="1"/>
    <col min="4" max="5" width="16.00390625" customWidth="1"/>
    <col min="6" max="7" width="18.00390625" customWidth="1"/>
    <col min="8" max="8" width="26.00390625" customWidth="1"/>
    <col min="9" max="9" width="18.00390625" customWidth="1"/>
    <col min="10" max="10" width="28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0" t="s">
        <v>126</v>
      </c>
    </row>
    <row r="3" ht="15" customHeight="1">
      <c r="A3" s="21" t="s">
        <v>127</v>
      </c>
    </row>
    <row r="4" ht="15" customHeight="1">
      <c r="A4" s="21" t="s">
        <v>128</v>
      </c>
    </row>
    <row r="6" ht="15" customHeight="1">
      <c r="A6" s="24" t="s">
        <v>121</v>
      </c>
      <c r="B6" s="24" t="s">
        <v>78</v>
      </c>
      <c r="C6" s="24" t="s">
        <v>79</v>
      </c>
      <c r="D6" s="24" t="s">
        <v>111</v>
      </c>
      <c r="E6" s="24" t="s">
        <v>81</v>
      </c>
      <c r="F6" s="24" t="s">
        <v>114</v>
      </c>
      <c r="G6" s="24" t="s">
        <v>122</v>
      </c>
      <c r="H6" s="24" t="s">
        <v>123</v>
      </c>
      <c r="I6" s="24" t="s">
        <v>124</v>
      </c>
      <c r="J6" s="24" t="s">
        <v>129</v>
      </c>
    </row>
    <row r="7" ht="15" customHeight="1">
      <c r="A7" s="27">
        <v>1</v>
      </c>
      <c r="B7" s="27"/>
      <c r="C7" s="27"/>
      <c r="D7" s="27"/>
      <c r="E7" s="27"/>
      <c r="F7" s="27"/>
      <c r="G7" s="27"/>
      <c r="H7" s="27"/>
      <c r="I7" s="27"/>
      <c r="J7" s="27"/>
    </row>
    <row r="8" ht="15" customHeight="1">
      <c r="A8" s="26">
        <v>2</v>
      </c>
      <c r="B8" s="26"/>
      <c r="C8" s="26"/>
      <c r="D8" s="26"/>
      <c r="E8" s="26"/>
      <c r="F8" s="26"/>
      <c r="G8" s="26"/>
      <c r="H8" s="26"/>
      <c r="I8" s="26"/>
      <c r="J8" s="26"/>
    </row>
    <row r="9" ht="15" customHeight="1">
      <c r="A9" s="27">
        <v>3</v>
      </c>
      <c r="B9" s="27"/>
      <c r="C9" s="27"/>
      <c r="D9" s="27"/>
      <c r="E9" s="27"/>
      <c r="F9" s="27"/>
      <c r="G9" s="27"/>
      <c r="H9" s="27"/>
      <c r="I9" s="27"/>
      <c r="J9" s="27"/>
    </row>
    <row r="10" ht="15" customHeight="1">
      <c r="A10" s="26">
        <v>4</v>
      </c>
      <c r="B10" s="26"/>
      <c r="C10" s="26"/>
      <c r="D10" s="26"/>
      <c r="E10" s="26"/>
      <c r="F10" s="26"/>
      <c r="G10" s="26"/>
      <c r="H10" s="26"/>
      <c r="I10" s="26"/>
      <c r="J10" s="26"/>
    </row>
    <row r="11" ht="15" customHeight="1">
      <c r="A11" s="27">
        <v>5</v>
      </c>
      <c r="B11" s="27"/>
      <c r="C11" s="27"/>
      <c r="D11" s="27"/>
      <c r="E11" s="27"/>
      <c r="F11" s="27"/>
      <c r="G11" s="27"/>
      <c r="H11" s="27"/>
      <c r="I11" s="27"/>
      <c r="J11" s="27"/>
    </row>
    <row r="12" ht="15" customHeight="1">
      <c r="A12" s="26">
        <v>6</v>
      </c>
      <c r="B12" s="26"/>
      <c r="C12" s="26"/>
      <c r="D12" s="26"/>
      <c r="E12" s="26"/>
      <c r="F12" s="26"/>
      <c r="G12" s="26"/>
      <c r="H12" s="26"/>
      <c r="I12" s="26"/>
      <c r="J12" s="26"/>
    </row>
    <row r="13" ht="15" customHeight="1">
      <c r="A13" s="27">
        <v>7</v>
      </c>
      <c r="B13" s="27"/>
      <c r="C13" s="27"/>
      <c r="D13" s="27"/>
      <c r="E13" s="27"/>
      <c r="F13" s="27"/>
      <c r="G13" s="27"/>
      <c r="H13" s="27"/>
      <c r="I13" s="27"/>
      <c r="J13" s="27"/>
    </row>
    <row r="14" ht="15" customHeight="1">
      <c r="A14" s="26">
        <v>8</v>
      </c>
      <c r="B14" s="26"/>
      <c r="C14" s="26"/>
      <c r="D14" s="26"/>
      <c r="E14" s="26"/>
      <c r="F14" s="26"/>
      <c r="G14" s="26"/>
      <c r="H14" s="26"/>
      <c r="I14" s="26"/>
      <c r="J14" s="26"/>
    </row>
    <row r="15" ht="15" customHeight="1">
      <c r="A15" s="27">
        <v>9</v>
      </c>
      <c r="B15" s="27"/>
      <c r="C15" s="27"/>
      <c r="D15" s="27"/>
      <c r="E15" s="27"/>
      <c r="F15" s="27"/>
      <c r="G15" s="27"/>
      <c r="H15" s="27"/>
      <c r="I15" s="27"/>
      <c r="J15" s="27"/>
    </row>
    <row r="16" ht="15" customHeight="1">
      <c r="A16" s="26">
        <v>10</v>
      </c>
      <c r="B16" s="26"/>
      <c r="C16" s="26"/>
      <c r="D16" s="26"/>
      <c r="E16" s="26"/>
      <c r="F16" s="26"/>
      <c r="G16" s="26"/>
      <c r="H16" s="26"/>
      <c r="I16" s="26"/>
      <c r="J16" s="26"/>
    </row>
    <row r="17" ht="15" customHeight="1">
      <c r="A17" s="27">
        <v>11</v>
      </c>
      <c r="B17" s="27"/>
      <c r="C17" s="27"/>
      <c r="D17" s="27"/>
      <c r="E17" s="27"/>
      <c r="F17" s="27"/>
      <c r="G17" s="27"/>
      <c r="H17" s="27"/>
      <c r="I17" s="27"/>
      <c r="J17" s="27"/>
    </row>
    <row r="18" ht="15" customHeight="1">
      <c r="A18" s="26">
        <v>12</v>
      </c>
      <c r="B18" s="26"/>
      <c r="C18" s="26"/>
      <c r="D18" s="26"/>
      <c r="E18" s="26"/>
      <c r="F18" s="26"/>
      <c r="G18" s="26"/>
      <c r="H18" s="26"/>
      <c r="I18" s="26"/>
      <c r="J18" s="26"/>
    </row>
    <row r="19" ht="15" customHeight="1">
      <c r="A19" s="27">
        <v>13</v>
      </c>
      <c r="B19" s="27"/>
      <c r="C19" s="27"/>
      <c r="D19" s="27"/>
      <c r="E19" s="27"/>
      <c r="F19" s="27"/>
      <c r="G19" s="27"/>
      <c r="H19" s="27"/>
      <c r="I19" s="27"/>
      <c r="J19" s="27"/>
    </row>
    <row r="20" ht="15" customHeight="1">
      <c r="A20" s="26">
        <v>14</v>
      </c>
      <c r="B20" s="26"/>
      <c r="C20" s="26"/>
      <c r="D20" s="26"/>
      <c r="E20" s="26"/>
      <c r="F20" s="26"/>
      <c r="G20" s="26"/>
      <c r="H20" s="26"/>
      <c r="I20" s="26"/>
      <c r="J20" s="26"/>
    </row>
    <row r="21" ht="15" customHeight="1">
      <c r="A21" s="27">
        <v>15</v>
      </c>
      <c r="B21" s="27"/>
      <c r="C21" s="27"/>
      <c r="D21" s="27"/>
      <c r="E21" s="27"/>
      <c r="F21" s="27"/>
      <c r="G21" s="27"/>
      <c r="H21" s="27"/>
      <c r="I21" s="27"/>
      <c r="J21" s="27"/>
    </row>
    <row r="22" ht="15" customHeight="1">
      <c r="A22" s="26">
        <v>16</v>
      </c>
      <c r="B22" s="26"/>
      <c r="C22" s="26"/>
      <c r="D22" s="26"/>
      <c r="E22" s="26"/>
      <c r="F22" s="26"/>
      <c r="G22" s="26"/>
      <c r="H22" s="26"/>
      <c r="I22" s="26"/>
      <c r="J22" s="26"/>
    </row>
    <row r="23" ht="15" customHeight="1">
      <c r="A23" s="27">
        <v>17</v>
      </c>
      <c r="B23" s="27"/>
      <c r="C23" s="27"/>
      <c r="D23" s="27"/>
      <c r="E23" s="27"/>
      <c r="F23" s="27"/>
      <c r="G23" s="27"/>
      <c r="H23" s="27"/>
      <c r="I23" s="27"/>
      <c r="J23" s="27"/>
    </row>
    <row r="24" ht="15" customHeight="1">
      <c r="A24" s="26">
        <v>18</v>
      </c>
      <c r="B24" s="26"/>
      <c r="C24" s="26"/>
      <c r="D24" s="26"/>
      <c r="E24" s="26"/>
      <c r="F24" s="26"/>
      <c r="G24" s="26"/>
      <c r="H24" s="26"/>
      <c r="I24" s="26"/>
      <c r="J24" s="26"/>
    </row>
    <row r="25" ht="15" customHeight="1">
      <c r="A25" s="27">
        <v>19</v>
      </c>
      <c r="B25" s="27"/>
      <c r="C25" s="27"/>
      <c r="D25" s="27"/>
      <c r="E25" s="27"/>
      <c r="F25" s="27"/>
      <c r="G25" s="27"/>
      <c r="H25" s="27"/>
      <c r="I25" s="27"/>
      <c r="J25" s="27"/>
    </row>
    <row r="26" ht="15" customHeight="1">
      <c r="A26" s="26">
        <v>20</v>
      </c>
      <c r="B26" s="26"/>
      <c r="C26" s="26"/>
      <c r="D26" s="26"/>
      <c r="E26" s="26"/>
      <c r="F26" s="26"/>
      <c r="G26" s="26"/>
      <c r="H26" s="26"/>
      <c r="I26" s="26"/>
      <c r="J26" s="26"/>
    </row>
    <row r="27" ht="15" customHeight="1">
      <c r="A27" s="27">
        <v>21</v>
      </c>
      <c r="B27" s="27"/>
      <c r="C27" s="27"/>
      <c r="D27" s="27"/>
      <c r="E27" s="27"/>
      <c r="F27" s="27"/>
      <c r="G27" s="27"/>
      <c r="H27" s="27"/>
      <c r="I27" s="27"/>
      <c r="J27" s="27"/>
    </row>
    <row r="28" ht="15" customHeight="1">
      <c r="A28" s="26">
        <v>22</v>
      </c>
      <c r="B28" s="26"/>
      <c r="C28" s="26"/>
      <c r="D28" s="26"/>
      <c r="E28" s="26"/>
      <c r="F28" s="26"/>
      <c r="G28" s="26"/>
      <c r="H28" s="26"/>
      <c r="I28" s="26"/>
      <c r="J28" s="26"/>
    </row>
    <row r="29" ht="15" customHeight="1">
      <c r="A29" s="27">
        <v>23</v>
      </c>
      <c r="B29" s="27"/>
      <c r="C29" s="27"/>
      <c r="D29" s="27"/>
      <c r="E29" s="27"/>
      <c r="F29" s="27"/>
      <c r="G29" s="27"/>
      <c r="H29" s="27"/>
      <c r="I29" s="27"/>
      <c r="J29" s="27"/>
    </row>
    <row r="30" ht="15" customHeight="1">
      <c r="A30" s="26">
        <v>24</v>
      </c>
      <c r="B30" s="26"/>
      <c r="C30" s="26"/>
      <c r="D30" s="26"/>
      <c r="E30" s="26"/>
      <c r="F30" s="26"/>
      <c r="G30" s="26"/>
      <c r="H30" s="26"/>
      <c r="I30" s="26"/>
      <c r="J30" s="26"/>
    </row>
    <row r="31" ht="15" customHeight="1">
      <c r="A31" s="27">
        <v>25</v>
      </c>
      <c r="B31" s="27"/>
      <c r="C31" s="27"/>
      <c r="D31" s="27"/>
      <c r="E31" s="27"/>
      <c r="F31" s="27"/>
      <c r="G31" s="27"/>
      <c r="H31" s="27"/>
      <c r="I31" s="27"/>
      <c r="J31" s="27"/>
    </row>
    <row r="32" ht="15" customHeight="1">
      <c r="A32" s="26">
        <v>26</v>
      </c>
      <c r="B32" s="26"/>
      <c r="C32" s="26"/>
      <c r="D32" s="26"/>
      <c r="E32" s="26"/>
      <c r="F32" s="26"/>
      <c r="G32" s="26"/>
      <c r="H32" s="26"/>
      <c r="I32" s="26"/>
      <c r="J32" s="26"/>
    </row>
    <row r="33" ht="15" customHeight="1">
      <c r="A33" s="27">
        <v>27</v>
      </c>
      <c r="B33" s="27"/>
      <c r="C33" s="27"/>
      <c r="D33" s="27"/>
      <c r="E33" s="27"/>
      <c r="F33" s="27"/>
      <c r="G33" s="27"/>
      <c r="H33" s="27"/>
      <c r="I33" s="27"/>
      <c r="J33" s="27"/>
    </row>
    <row r="34" ht="15" customHeight="1">
      <c r="A34" s="26">
        <v>28</v>
      </c>
      <c r="B34" s="26"/>
      <c r="C34" s="26"/>
      <c r="D34" s="26"/>
      <c r="E34" s="26"/>
      <c r="F34" s="26"/>
      <c r="G34" s="26"/>
      <c r="H34" s="26"/>
      <c r="I34" s="26"/>
      <c r="J34" s="26"/>
    </row>
    <row r="35" ht="15" customHeight="1">
      <c r="A35" s="27">
        <v>29</v>
      </c>
      <c r="B35" s="27"/>
      <c r="C35" s="27"/>
      <c r="D35" s="27"/>
      <c r="E35" s="27"/>
      <c r="F35" s="27"/>
      <c r="G35" s="27"/>
      <c r="H35" s="27"/>
      <c r="I35" s="27"/>
      <c r="J35" s="27"/>
    </row>
    <row r="36" ht="15" customHeight="1">
      <c r="A36" s="26">
        <v>30</v>
      </c>
      <c r="B36" s="26"/>
      <c r="C36" s="26"/>
      <c r="D36" s="26"/>
      <c r="E36" s="26"/>
      <c r="F36" s="26"/>
      <c r="G36" s="26"/>
      <c r="H36" s="26"/>
      <c r="I36" s="26"/>
      <c r="J36" s="26"/>
    </row>
    <row r="37" ht="15" customHeight="1">
      <c r="A37" s="27">
        <v>31</v>
      </c>
      <c r="B37" s="27"/>
      <c r="C37" s="27"/>
      <c r="D37" s="27"/>
      <c r="E37" s="27"/>
      <c r="F37" s="27"/>
      <c r="G37" s="27"/>
      <c r="H37" s="27"/>
      <c r="I37" s="27"/>
      <c r="J37" s="27"/>
    </row>
    <row r="38" ht="15" customHeight="1">
      <c r="A38" s="26">
        <v>32</v>
      </c>
      <c r="B38" s="26"/>
      <c r="C38" s="26"/>
      <c r="D38" s="26"/>
      <c r="E38" s="26"/>
      <c r="F38" s="26"/>
      <c r="G38" s="26"/>
      <c r="H38" s="26"/>
      <c r="I38" s="26"/>
      <c r="J38" s="26"/>
    </row>
    <row r="39" ht="15" customHeight="1">
      <c r="A39" s="27">
        <v>33</v>
      </c>
      <c r="B39" s="27"/>
      <c r="C39" s="27"/>
      <c r="D39" s="27"/>
      <c r="E39" s="27"/>
      <c r="F39" s="27"/>
      <c r="G39" s="27"/>
      <c r="H39" s="27"/>
      <c r="I39" s="27"/>
      <c r="J39" s="27"/>
    </row>
    <row r="40" ht="15" customHeight="1">
      <c r="A40" s="26">
        <v>34</v>
      </c>
      <c r="B40" s="26"/>
      <c r="C40" s="26"/>
      <c r="D40" s="26"/>
      <c r="E40" s="26"/>
      <c r="F40" s="26"/>
      <c r="G40" s="26"/>
      <c r="H40" s="26"/>
      <c r="I40" s="26"/>
      <c r="J40" s="26"/>
    </row>
    <row r="41" ht="15" customHeight="1">
      <c r="A41" s="27">
        <v>35</v>
      </c>
      <c r="B41" s="27"/>
      <c r="C41" s="27"/>
      <c r="D41" s="27"/>
      <c r="E41" s="27"/>
      <c r="F41" s="27"/>
      <c r="G41" s="27"/>
      <c r="H41" s="27"/>
      <c r="I41" s="27"/>
      <c r="J41" s="27"/>
    </row>
    <row r="42" ht="15" customHeight="1">
      <c r="A42" s="26">
        <v>36</v>
      </c>
      <c r="B42" s="26"/>
      <c r="C42" s="26"/>
      <c r="D42" s="26"/>
      <c r="E42" s="26"/>
      <c r="F42" s="26"/>
      <c r="G42" s="26"/>
      <c r="H42" s="26"/>
      <c r="I42" s="26"/>
      <c r="J42" s="26"/>
    </row>
    <row r="43" ht="15" customHeight="1">
      <c r="A43" s="27">
        <v>37</v>
      </c>
      <c r="B43" s="27"/>
      <c r="C43" s="27"/>
      <c r="D43" s="27"/>
      <c r="E43" s="27"/>
      <c r="F43" s="27"/>
      <c r="G43" s="27"/>
      <c r="H43" s="27"/>
      <c r="I43" s="27"/>
      <c r="J43" s="27"/>
    </row>
    <row r="44" ht="15" customHeight="1">
      <c r="A44" s="26">
        <v>38</v>
      </c>
      <c r="B44" s="26"/>
      <c r="C44" s="26"/>
      <c r="D44" s="26"/>
      <c r="E44" s="26"/>
      <c r="F44" s="26"/>
      <c r="G44" s="26"/>
      <c r="H44" s="26"/>
      <c r="I44" s="26"/>
      <c r="J44" s="26"/>
    </row>
    <row r="45" ht="15" customHeight="1">
      <c r="A45" s="27">
        <v>39</v>
      </c>
      <c r="B45" s="27"/>
      <c r="C45" s="27"/>
      <c r="D45" s="27"/>
      <c r="E45" s="27"/>
      <c r="F45" s="27"/>
      <c r="G45" s="27"/>
      <c r="H45" s="27"/>
      <c r="I45" s="27"/>
      <c r="J45" s="27"/>
    </row>
    <row r="46" ht="15" customHeight="1">
      <c r="A46" s="26">
        <v>40</v>
      </c>
      <c r="B46" s="26"/>
      <c r="C46" s="26"/>
      <c r="D46" s="26"/>
      <c r="E46" s="26"/>
      <c r="F46" s="26"/>
      <c r="G46" s="26"/>
      <c r="H46" s="26"/>
      <c r="I46" s="26"/>
      <c r="J46" s="26"/>
    </row>
    <row r="47" ht="15" customHeight="1">
      <c r="A47" s="27">
        <v>41</v>
      </c>
      <c r="B47" s="27"/>
      <c r="C47" s="27"/>
      <c r="D47" s="27"/>
      <c r="E47" s="27"/>
      <c r="F47" s="27"/>
      <c r="G47" s="27"/>
      <c r="H47" s="27"/>
      <c r="I47" s="27"/>
      <c r="J47" s="27"/>
    </row>
    <row r="48" ht="15" customHeight="1">
      <c r="A48" s="26">
        <v>42</v>
      </c>
      <c r="B48" s="26"/>
      <c r="C48" s="26"/>
      <c r="D48" s="26"/>
      <c r="E48" s="26"/>
      <c r="F48" s="26"/>
      <c r="G48" s="26"/>
      <c r="H48" s="26"/>
      <c r="I48" s="26"/>
      <c r="J48" s="26"/>
    </row>
    <row r="49" ht="15" customHeight="1">
      <c r="A49" s="27">
        <v>43</v>
      </c>
      <c r="B49" s="27"/>
      <c r="C49" s="27"/>
      <c r="D49" s="27"/>
      <c r="E49" s="27"/>
      <c r="F49" s="27"/>
      <c r="G49" s="27"/>
      <c r="H49" s="27"/>
      <c r="I49" s="27"/>
      <c r="J49" s="27"/>
    </row>
    <row r="50" ht="15" customHeight="1">
      <c r="A50" s="26">
        <v>44</v>
      </c>
      <c r="B50" s="26"/>
      <c r="C50" s="26"/>
      <c r="D50" s="26"/>
      <c r="E50" s="26"/>
      <c r="F50" s="26"/>
      <c r="G50" s="26"/>
      <c r="H50" s="26"/>
      <c r="I50" s="26"/>
      <c r="J50" s="26"/>
    </row>
    <row r="51" ht="15" customHeight="1">
      <c r="A51" s="27">
        <v>45</v>
      </c>
      <c r="B51" s="27"/>
      <c r="C51" s="27"/>
      <c r="D51" s="27"/>
      <c r="E51" s="27"/>
      <c r="F51" s="27"/>
      <c r="G51" s="27"/>
      <c r="H51" s="27"/>
      <c r="I51" s="27"/>
      <c r="J51" s="27"/>
    </row>
    <row r="52" ht="15" customHeight="1">
      <c r="A52" s="26">
        <v>46</v>
      </c>
      <c r="B52" s="26"/>
      <c r="C52" s="26"/>
      <c r="D52" s="26"/>
      <c r="E52" s="26"/>
      <c r="F52" s="26"/>
      <c r="G52" s="26"/>
      <c r="H52" s="26"/>
      <c r="I52" s="26"/>
      <c r="J52" s="26"/>
    </row>
    <row r="53" ht="15" customHeight="1">
      <c r="A53" s="27">
        <v>47</v>
      </c>
      <c r="B53" s="27"/>
      <c r="C53" s="27"/>
      <c r="D53" s="27"/>
      <c r="E53" s="27"/>
      <c r="F53" s="27"/>
      <c r="G53" s="27"/>
      <c r="H53" s="27"/>
      <c r="I53" s="27"/>
      <c r="J53" s="27"/>
    </row>
    <row r="54" ht="15" customHeight="1">
      <c r="A54" s="26">
        <v>48</v>
      </c>
      <c r="B54" s="26"/>
      <c r="C54" s="26"/>
      <c r="D54" s="26"/>
      <c r="E54" s="26"/>
      <c r="F54" s="26"/>
      <c r="G54" s="26"/>
      <c r="H54" s="26"/>
      <c r="I54" s="26"/>
      <c r="J54" s="26"/>
    </row>
    <row r="55" ht="15" customHeight="1">
      <c r="A55" s="27">
        <v>49</v>
      </c>
      <c r="B55" s="27"/>
      <c r="C55" s="27"/>
      <c r="D55" s="27"/>
      <c r="E55" s="27"/>
      <c r="F55" s="27"/>
      <c r="G55" s="27"/>
      <c r="H55" s="27"/>
      <c r="I55" s="27"/>
      <c r="J55" s="27"/>
    </row>
    <row r="56" ht="15" customHeight="1">
      <c r="A56" s="26">
        <v>50</v>
      </c>
      <c r="B56" s="26"/>
      <c r="C56" s="26"/>
      <c r="D56" s="26"/>
      <c r="E56" s="26"/>
      <c r="F56" s="26"/>
      <c r="G56" s="26"/>
      <c r="H56" s="26"/>
      <c r="I56" s="26"/>
      <c r="J56" s="26"/>
    </row>
    <row r="57" ht="15" customHeight="1">
      <c r="A57" s="27">
        <v>51</v>
      </c>
      <c r="B57" s="27"/>
      <c r="C57" s="27"/>
      <c r="D57" s="27"/>
      <c r="E57" s="27"/>
      <c r="F57" s="27"/>
      <c r="G57" s="27"/>
      <c r="H57" s="27"/>
      <c r="I57" s="27"/>
      <c r="J57" s="27"/>
    </row>
    <row r="58" ht="15" customHeight="1">
      <c r="A58" s="26">
        <v>52</v>
      </c>
      <c r="B58" s="26"/>
      <c r="C58" s="26"/>
      <c r="D58" s="26"/>
      <c r="E58" s="26"/>
      <c r="F58" s="26"/>
      <c r="G58" s="26"/>
      <c r="H58" s="26"/>
      <c r="I58" s="26"/>
      <c r="J58" s="26"/>
    </row>
    <row r="59" ht="15" customHeight="1">
      <c r="A59" s="27">
        <v>53</v>
      </c>
      <c r="B59" s="27"/>
      <c r="C59" s="27"/>
      <c r="D59" s="27"/>
      <c r="E59" s="27"/>
      <c r="F59" s="27"/>
      <c r="G59" s="27"/>
      <c r="H59" s="27"/>
      <c r="I59" s="27"/>
      <c r="J59" s="27"/>
    </row>
    <row r="60" ht="15" customHeight="1">
      <c r="A60" s="26">
        <v>54</v>
      </c>
      <c r="B60" s="26"/>
      <c r="C60" s="26"/>
      <c r="D60" s="26"/>
      <c r="E60" s="26"/>
      <c r="F60" s="26"/>
      <c r="G60" s="26"/>
      <c r="H60" s="26"/>
      <c r="I60" s="26"/>
      <c r="J60" s="26"/>
    </row>
    <row r="61" ht="15" customHeight="1">
      <c r="A61" s="27">
        <v>55</v>
      </c>
      <c r="B61" s="27"/>
      <c r="C61" s="27"/>
      <c r="D61" s="27"/>
      <c r="E61" s="27"/>
      <c r="F61" s="27"/>
      <c r="G61" s="27"/>
      <c r="H61" s="27"/>
      <c r="I61" s="27"/>
      <c r="J61" s="27"/>
    </row>
    <row r="62" ht="15" customHeight="1">
      <c r="A62" s="26">
        <v>56</v>
      </c>
      <c r="B62" s="26"/>
      <c r="C62" s="26"/>
      <c r="D62" s="26"/>
      <c r="E62" s="26"/>
      <c r="F62" s="26"/>
      <c r="G62" s="26"/>
      <c r="H62" s="26"/>
      <c r="I62" s="26"/>
      <c r="J62" s="26"/>
    </row>
    <row r="63" ht="15" customHeight="1">
      <c r="A63" s="27">
        <v>57</v>
      </c>
      <c r="B63" s="27"/>
      <c r="C63" s="27"/>
      <c r="D63" s="27"/>
      <c r="E63" s="27"/>
      <c r="F63" s="27"/>
      <c r="G63" s="27"/>
      <c r="H63" s="27"/>
      <c r="I63" s="27"/>
      <c r="J63" s="27"/>
    </row>
    <row r="64" ht="15" customHeight="1">
      <c r="A64" s="26">
        <v>58</v>
      </c>
      <c r="B64" s="26"/>
      <c r="C64" s="26"/>
      <c r="D64" s="26"/>
      <c r="E64" s="26"/>
      <c r="F64" s="26"/>
      <c r="G64" s="26"/>
      <c r="H64" s="26"/>
      <c r="I64" s="26"/>
      <c r="J64" s="26"/>
    </row>
    <row r="65" ht="15" customHeight="1">
      <c r="A65" s="27">
        <v>59</v>
      </c>
      <c r="B65" s="27"/>
      <c r="C65" s="27"/>
      <c r="D65" s="27"/>
      <c r="E65" s="27"/>
      <c r="F65" s="27"/>
      <c r="G65" s="27"/>
      <c r="H65" s="27"/>
      <c r="I65" s="27"/>
      <c r="J65" s="27"/>
    </row>
    <row r="66" ht="15" customHeight="1">
      <c r="A66" s="26">
        <v>60</v>
      </c>
      <c r="B66" s="26"/>
      <c r="C66" s="26"/>
      <c r="D66" s="26"/>
      <c r="E66" s="26"/>
      <c r="F66" s="26"/>
      <c r="G66" s="26"/>
      <c r="H66" s="26"/>
      <c r="I66" s="26"/>
      <c r="J66" s="26"/>
    </row>
    <row r="67" ht="15" customHeight="1">
      <c r="A67" s="27">
        <v>61</v>
      </c>
      <c r="B67" s="27"/>
      <c r="C67" s="27"/>
      <c r="D67" s="27"/>
      <c r="E67" s="27"/>
      <c r="F67" s="27"/>
      <c r="G67" s="27"/>
      <c r="H67" s="27"/>
      <c r="I67" s="27"/>
      <c r="J67" s="27"/>
    </row>
    <row r="68" ht="15" customHeight="1">
      <c r="A68" s="26">
        <v>62</v>
      </c>
      <c r="B68" s="26"/>
      <c r="C68" s="26"/>
      <c r="D68" s="26"/>
      <c r="E68" s="26"/>
      <c r="F68" s="26"/>
      <c r="G68" s="26"/>
      <c r="H68" s="26"/>
      <c r="I68" s="26"/>
      <c r="J68" s="26"/>
    </row>
    <row r="69" ht="15" customHeight="1">
      <c r="A69" s="27">
        <v>63</v>
      </c>
      <c r="B69" s="27"/>
      <c r="C69" s="27"/>
      <c r="D69" s="27"/>
      <c r="E69" s="27"/>
      <c r="F69" s="27"/>
      <c r="G69" s="27"/>
      <c r="H69" s="27"/>
      <c r="I69" s="27"/>
      <c r="J69" s="27"/>
    </row>
    <row r="70" ht="15" customHeight="1">
      <c r="A70" s="26">
        <v>64</v>
      </c>
      <c r="B70" s="26"/>
      <c r="C70" s="26"/>
      <c r="D70" s="26"/>
      <c r="E70" s="26"/>
      <c r="F70" s="26"/>
      <c r="G70" s="26"/>
      <c r="H70" s="26"/>
      <c r="I70" s="26"/>
      <c r="J70" s="26"/>
    </row>
    <row r="71" ht="15" customHeight="1">
      <c r="A71" s="27">
        <v>65</v>
      </c>
      <c r="B71" s="27"/>
      <c r="C71" s="27"/>
      <c r="D71" s="27"/>
      <c r="E71" s="27"/>
      <c r="F71" s="27"/>
      <c r="G71" s="27"/>
      <c r="H71" s="27"/>
      <c r="I71" s="27"/>
      <c r="J71" s="27"/>
    </row>
    <row r="72" ht="15" customHeight="1">
      <c r="A72" s="26">
        <v>66</v>
      </c>
      <c r="B72" s="26"/>
      <c r="C72" s="26"/>
      <c r="D72" s="26"/>
      <c r="E72" s="26"/>
      <c r="F72" s="26"/>
      <c r="G72" s="26"/>
      <c r="H72" s="26"/>
      <c r="I72" s="26"/>
      <c r="J72" s="26"/>
    </row>
    <row r="73" ht="15" customHeight="1">
      <c r="A73" s="27">
        <v>67</v>
      </c>
      <c r="B73" s="27"/>
      <c r="C73" s="27"/>
      <c r="D73" s="27"/>
      <c r="E73" s="27"/>
      <c r="F73" s="27"/>
      <c r="G73" s="27"/>
      <c r="H73" s="27"/>
      <c r="I73" s="27"/>
      <c r="J73" s="27"/>
    </row>
    <row r="74" ht="15" customHeight="1">
      <c r="A74" s="26">
        <v>68</v>
      </c>
      <c r="B74" s="26"/>
      <c r="C74" s="26"/>
      <c r="D74" s="26"/>
      <c r="E74" s="26"/>
      <c r="F74" s="26"/>
      <c r="G74" s="26"/>
      <c r="H74" s="26"/>
      <c r="I74" s="26"/>
      <c r="J74" s="26"/>
    </row>
    <row r="75" ht="15" customHeight="1">
      <c r="A75" s="27">
        <v>69</v>
      </c>
      <c r="B75" s="27"/>
      <c r="C75" s="27"/>
      <c r="D75" s="27"/>
      <c r="E75" s="27"/>
      <c r="F75" s="27"/>
      <c r="G75" s="27"/>
      <c r="H75" s="27"/>
      <c r="I75" s="27"/>
      <c r="J75" s="27"/>
    </row>
    <row r="76" ht="15" customHeight="1">
      <c r="A76" s="26">
        <v>70</v>
      </c>
      <c r="B76" s="26"/>
      <c r="C76" s="26"/>
      <c r="D76" s="26"/>
      <c r="E76" s="26"/>
      <c r="F76" s="26"/>
      <c r="G76" s="26"/>
      <c r="H76" s="26"/>
      <c r="I76" s="26"/>
      <c r="J76" s="26"/>
    </row>
    <row r="77" ht="15" customHeight="1">
      <c r="A77" s="27">
        <v>71</v>
      </c>
      <c r="B77" s="27"/>
      <c r="C77" s="27"/>
      <c r="D77" s="27"/>
      <c r="E77" s="27"/>
      <c r="F77" s="27"/>
      <c r="G77" s="27"/>
      <c r="H77" s="27"/>
      <c r="I77" s="27"/>
      <c r="J77" s="27"/>
    </row>
    <row r="78" ht="15" customHeight="1">
      <c r="A78" s="26">
        <v>72</v>
      </c>
      <c r="B78" s="26"/>
      <c r="C78" s="26"/>
      <c r="D78" s="26"/>
      <c r="E78" s="26"/>
      <c r="F78" s="26"/>
      <c r="G78" s="26"/>
      <c r="H78" s="26"/>
      <c r="I78" s="26"/>
      <c r="J78" s="26"/>
    </row>
    <row r="79" ht="15" customHeight="1">
      <c r="A79" s="27">
        <v>73</v>
      </c>
      <c r="B79" s="27"/>
      <c r="C79" s="27"/>
      <c r="D79" s="27"/>
      <c r="E79" s="27"/>
      <c r="F79" s="27"/>
      <c r="G79" s="27"/>
      <c r="H79" s="27"/>
      <c r="I79" s="27"/>
      <c r="J79" s="27"/>
    </row>
    <row r="80" ht="15" customHeight="1">
      <c r="A80" s="26">
        <v>74</v>
      </c>
      <c r="B80" s="26"/>
      <c r="C80" s="26"/>
      <c r="D80" s="26"/>
      <c r="E80" s="26"/>
      <c r="F80" s="26"/>
      <c r="G80" s="26"/>
      <c r="H80" s="26"/>
      <c r="I80" s="26"/>
      <c r="J80" s="26"/>
    </row>
    <row r="81" ht="15" customHeight="1">
      <c r="A81" s="27">
        <v>75</v>
      </c>
      <c r="B81" s="27"/>
      <c r="C81" s="27"/>
      <c r="D81" s="27"/>
      <c r="E81" s="27"/>
      <c r="F81" s="27"/>
      <c r="G81" s="27"/>
      <c r="H81" s="27"/>
      <c r="I81" s="27"/>
      <c r="J81" s="27"/>
    </row>
    <row r="82" ht="15" customHeight="1">
      <c r="A82" s="26">
        <v>76</v>
      </c>
      <c r="B82" s="26"/>
      <c r="C82" s="26"/>
      <c r="D82" s="26"/>
      <c r="E82" s="26"/>
      <c r="F82" s="26"/>
      <c r="G82" s="26"/>
      <c r="H82" s="26"/>
      <c r="I82" s="26"/>
      <c r="J82" s="26"/>
    </row>
    <row r="83" ht="15" customHeight="1">
      <c r="A83" s="27">
        <v>77</v>
      </c>
      <c r="B83" s="27"/>
      <c r="C83" s="27"/>
      <c r="D83" s="27"/>
      <c r="E83" s="27"/>
      <c r="F83" s="27"/>
      <c r="G83" s="27"/>
      <c r="H83" s="27"/>
      <c r="I83" s="27"/>
      <c r="J83" s="27"/>
    </row>
    <row r="84" ht="15" customHeight="1">
      <c r="A84" s="26">
        <v>78</v>
      </c>
      <c r="B84" s="26"/>
      <c r="C84" s="26"/>
      <c r="D84" s="26"/>
      <c r="E84" s="26"/>
      <c r="F84" s="26"/>
      <c r="G84" s="26"/>
      <c r="H84" s="26"/>
      <c r="I84" s="26"/>
      <c r="J84" s="26"/>
    </row>
    <row r="85" ht="15" customHeight="1">
      <c r="A85" s="27">
        <v>79</v>
      </c>
      <c r="B85" s="27"/>
      <c r="C85" s="27"/>
      <c r="D85" s="27"/>
      <c r="E85" s="27"/>
      <c r="F85" s="27"/>
      <c r="G85" s="27"/>
      <c r="H85" s="27"/>
      <c r="I85" s="27"/>
      <c r="J85" s="27"/>
    </row>
    <row r="86" ht="15" customHeight="1">
      <c r="A86" s="26">
        <v>80</v>
      </c>
      <c r="B86" s="26"/>
      <c r="C86" s="26"/>
      <c r="D86" s="26"/>
      <c r="E86" s="26"/>
      <c r="F86" s="26"/>
      <c r="G86" s="26"/>
      <c r="H86" s="26"/>
      <c r="I86" s="26"/>
      <c r="J86" s="26"/>
    </row>
    <row r="87" ht="15" customHeight="1">
      <c r="A87" s="27">
        <v>81</v>
      </c>
      <c r="B87" s="27"/>
      <c r="C87" s="27"/>
      <c r="D87" s="27"/>
      <c r="E87" s="27"/>
      <c r="F87" s="27"/>
      <c r="G87" s="27"/>
      <c r="H87" s="27"/>
      <c r="I87" s="27"/>
      <c r="J87" s="27"/>
    </row>
    <row r="88" ht="15" customHeight="1">
      <c r="A88" s="26">
        <v>82</v>
      </c>
      <c r="B88" s="26"/>
      <c r="C88" s="26"/>
      <c r="D88" s="26"/>
      <c r="E88" s="26"/>
      <c r="F88" s="26"/>
      <c r="G88" s="26"/>
      <c r="H88" s="26"/>
      <c r="I88" s="26"/>
      <c r="J88" s="26"/>
    </row>
    <row r="89" ht="15" customHeight="1">
      <c r="A89" s="27">
        <v>83</v>
      </c>
      <c r="B89" s="27"/>
      <c r="C89" s="27"/>
      <c r="D89" s="27"/>
      <c r="E89" s="27"/>
      <c r="F89" s="27"/>
      <c r="G89" s="27"/>
      <c r="H89" s="27"/>
      <c r="I89" s="27"/>
      <c r="J89" s="27"/>
    </row>
    <row r="90" ht="15" customHeight="1">
      <c r="A90" s="26">
        <v>84</v>
      </c>
      <c r="B90" s="26"/>
      <c r="C90" s="26"/>
      <c r="D90" s="26"/>
      <c r="E90" s="26"/>
      <c r="F90" s="26"/>
      <c r="G90" s="26"/>
      <c r="H90" s="26"/>
      <c r="I90" s="26"/>
      <c r="J90" s="26"/>
    </row>
    <row r="91" ht="15" customHeight="1">
      <c r="A91" s="27">
        <v>85</v>
      </c>
      <c r="B91" s="27"/>
      <c r="C91" s="27"/>
      <c r="D91" s="27"/>
      <c r="E91" s="27"/>
      <c r="F91" s="27"/>
      <c r="G91" s="27"/>
      <c r="H91" s="27"/>
      <c r="I91" s="27"/>
      <c r="J91" s="27"/>
    </row>
    <row r="92" ht="15" customHeight="1">
      <c r="A92" s="26">
        <v>86</v>
      </c>
      <c r="B92" s="26"/>
      <c r="C92" s="26"/>
      <c r="D92" s="26"/>
      <c r="E92" s="26"/>
      <c r="F92" s="26"/>
      <c r="G92" s="26"/>
      <c r="H92" s="26"/>
      <c r="I92" s="26"/>
      <c r="J92" s="26"/>
    </row>
    <row r="93" ht="15" customHeight="1">
      <c r="A93" s="27">
        <v>87</v>
      </c>
      <c r="B93" s="27"/>
      <c r="C93" s="27"/>
      <c r="D93" s="27"/>
      <c r="E93" s="27"/>
      <c r="F93" s="27"/>
      <c r="G93" s="27"/>
      <c r="H93" s="27"/>
      <c r="I93" s="27"/>
      <c r="J93" s="27"/>
    </row>
    <row r="94" ht="15" customHeight="1">
      <c r="A94" s="26">
        <v>88</v>
      </c>
      <c r="B94" s="26"/>
      <c r="C94" s="26"/>
      <c r="D94" s="26"/>
      <c r="E94" s="26"/>
      <c r="F94" s="26"/>
      <c r="G94" s="26"/>
      <c r="H94" s="26"/>
      <c r="I94" s="26"/>
      <c r="J94" s="26"/>
    </row>
    <row r="95" ht="15" customHeight="1">
      <c r="A95" s="27">
        <v>89</v>
      </c>
      <c r="B95" s="27"/>
      <c r="C95" s="27"/>
      <c r="D95" s="27"/>
      <c r="E95" s="27"/>
      <c r="F95" s="27"/>
      <c r="G95" s="27"/>
      <c r="H95" s="27"/>
      <c r="I95" s="27"/>
      <c r="J95" s="27"/>
    </row>
    <row r="96" ht="15" customHeight="1">
      <c r="A96" s="26">
        <v>90</v>
      </c>
      <c r="B96" s="26"/>
      <c r="C96" s="26"/>
      <c r="D96" s="26"/>
      <c r="E96" s="26"/>
      <c r="F96" s="26"/>
      <c r="G96" s="26"/>
      <c r="H96" s="26"/>
      <c r="I96" s="26"/>
      <c r="J96" s="26"/>
    </row>
    <row r="97" ht="15" customHeight="1">
      <c r="A97" s="27">
        <v>91</v>
      </c>
      <c r="B97" s="27"/>
      <c r="C97" s="27"/>
      <c r="D97" s="27"/>
      <c r="E97" s="27"/>
      <c r="F97" s="27"/>
      <c r="G97" s="27"/>
      <c r="H97" s="27"/>
      <c r="I97" s="27"/>
      <c r="J97" s="27"/>
    </row>
    <row r="98" ht="15" customHeight="1">
      <c r="A98" s="26">
        <v>92</v>
      </c>
      <c r="B98" s="26"/>
      <c r="C98" s="26"/>
      <c r="D98" s="26"/>
      <c r="E98" s="26"/>
      <c r="F98" s="26"/>
      <c r="G98" s="26"/>
      <c r="H98" s="26"/>
      <c r="I98" s="26"/>
      <c r="J98" s="26"/>
    </row>
    <row r="99" ht="15" customHeight="1">
      <c r="A99" s="27">
        <v>93</v>
      </c>
      <c r="B99" s="27"/>
      <c r="C99" s="27"/>
      <c r="D99" s="27"/>
      <c r="E99" s="27"/>
      <c r="F99" s="27"/>
      <c r="G99" s="27"/>
      <c r="H99" s="27"/>
      <c r="I99" s="27"/>
      <c r="J99" s="27"/>
    </row>
    <row r="100" ht="15" customHeight="1">
      <c r="A100" s="26">
        <v>94</v>
      </c>
      <c r="B100" s="26"/>
      <c r="C100" s="26"/>
      <c r="D100" s="26"/>
      <c r="E100" s="26"/>
      <c r="F100" s="26"/>
      <c r="G100" s="26"/>
      <c r="H100" s="26"/>
      <c r="I100" s="26"/>
      <c r="J100" s="26"/>
    </row>
    <row r="101" ht="15" customHeight="1">
      <c r="A101" s="27">
        <v>95</v>
      </c>
      <c r="B101" s="27"/>
      <c r="C101" s="27"/>
      <c r="D101" s="27"/>
      <c r="E101" s="27"/>
      <c r="F101" s="27"/>
      <c r="G101" s="27"/>
      <c r="H101" s="27"/>
      <c r="I101" s="27"/>
      <c r="J101" s="27"/>
    </row>
    <row r="102" ht="15" customHeight="1">
      <c r="A102" s="26">
        <v>96</v>
      </c>
      <c r="B102" s="26"/>
      <c r="C102" s="26"/>
      <c r="D102" s="26"/>
      <c r="E102" s="26"/>
      <c r="F102" s="26"/>
      <c r="G102" s="26"/>
      <c r="H102" s="26"/>
      <c r="I102" s="26"/>
      <c r="J102" s="26"/>
    </row>
    <row r="103" ht="15" customHeight="1">
      <c r="A103" s="27">
        <v>97</v>
      </c>
      <c r="B103" s="27"/>
      <c r="C103" s="27"/>
      <c r="D103" s="27"/>
      <c r="E103" s="27"/>
      <c r="F103" s="27"/>
      <c r="G103" s="27"/>
      <c r="H103" s="27"/>
      <c r="I103" s="27"/>
      <c r="J103" s="27"/>
    </row>
    <row r="104" ht="15" customHeight="1">
      <c r="A104" s="26">
        <v>98</v>
      </c>
      <c r="B104" s="26"/>
      <c r="C104" s="26"/>
      <c r="D104" s="26"/>
      <c r="E104" s="26"/>
      <c r="F104" s="26"/>
      <c r="G104" s="26"/>
      <c r="H104" s="26"/>
      <c r="I104" s="26"/>
      <c r="J104" s="26"/>
    </row>
    <row r="105" ht="15" customHeight="1">
      <c r="A105" s="27">
        <v>99</v>
      </c>
      <c r="B105" s="27"/>
      <c r="C105" s="27"/>
      <c r="D105" s="27"/>
      <c r="E105" s="27"/>
      <c r="F105" s="27"/>
      <c r="G105" s="27"/>
      <c r="H105" s="27"/>
      <c r="I105" s="27"/>
      <c r="J105" s="27"/>
    </row>
    <row r="106" ht="15" customHeight="1">
      <c r="A106" s="26">
        <v>100</v>
      </c>
      <c r="B106" s="26"/>
      <c r="C106" s="26"/>
      <c r="D106" s="26"/>
      <c r="E106" s="26"/>
      <c r="F106" s="26"/>
      <c r="G106" s="26"/>
      <c r="H106" s="26"/>
      <c r="I106" s="26"/>
      <c r="J106" s="26"/>
    </row>
    <row r="107" ht="15" customHeight="1">
      <c r="A107" s="27">
        <v>101</v>
      </c>
      <c r="B107" s="27"/>
      <c r="C107" s="27"/>
      <c r="D107" s="27"/>
      <c r="E107" s="27"/>
      <c r="F107" s="27"/>
      <c r="G107" s="27"/>
      <c r="H107" s="27"/>
      <c r="I107" s="27"/>
      <c r="J107" s="27"/>
    </row>
    <row r="108" ht="15" customHeight="1">
      <c r="A108" s="26">
        <v>102</v>
      </c>
      <c r="B108" s="26"/>
      <c r="C108" s="26"/>
      <c r="D108" s="26"/>
      <c r="E108" s="26"/>
      <c r="F108" s="26"/>
      <c r="G108" s="26"/>
      <c r="H108" s="26"/>
      <c r="I108" s="26"/>
      <c r="J108" s="26"/>
    </row>
    <row r="109" ht="15" customHeight="1">
      <c r="A109" s="27">
        <v>103</v>
      </c>
      <c r="B109" s="27"/>
      <c r="C109" s="27"/>
      <c r="D109" s="27"/>
      <c r="E109" s="27"/>
      <c r="F109" s="27"/>
      <c r="G109" s="27"/>
      <c r="H109" s="27"/>
      <c r="I109" s="27"/>
      <c r="J109" s="27"/>
    </row>
    <row r="110" ht="15" customHeight="1">
      <c r="A110" s="26">
        <v>104</v>
      </c>
      <c r="B110" s="26"/>
      <c r="C110" s="26"/>
      <c r="D110" s="26"/>
      <c r="E110" s="26"/>
      <c r="F110" s="26"/>
      <c r="G110" s="26"/>
      <c r="H110" s="26"/>
      <c r="I110" s="26"/>
      <c r="J110" s="26"/>
    </row>
    <row r="111" ht="15" customHeight="1">
      <c r="A111" s="27">
        <v>105</v>
      </c>
      <c r="B111" s="27"/>
      <c r="C111" s="27"/>
      <c r="D111" s="27"/>
      <c r="E111" s="27"/>
      <c r="F111" s="27"/>
      <c r="G111" s="27"/>
      <c r="H111" s="27"/>
      <c r="I111" s="27"/>
      <c r="J111" s="27"/>
    </row>
    <row r="112" ht="15" customHeight="1">
      <c r="A112" s="26">
        <v>106</v>
      </c>
      <c r="B112" s="26"/>
      <c r="C112" s="26"/>
      <c r="D112" s="26"/>
      <c r="E112" s="26"/>
      <c r="F112" s="26"/>
      <c r="G112" s="26"/>
      <c r="H112" s="26"/>
      <c r="I112" s="26"/>
      <c r="J112" s="26"/>
    </row>
    <row r="113" ht="15" customHeight="1">
      <c r="A113" s="27">
        <v>107</v>
      </c>
      <c r="B113" s="27"/>
      <c r="C113" s="27"/>
      <c r="D113" s="27"/>
      <c r="E113" s="27"/>
      <c r="F113" s="27"/>
      <c r="G113" s="27"/>
      <c r="H113" s="27"/>
      <c r="I113" s="27"/>
      <c r="J113" s="27"/>
    </row>
    <row r="114" ht="15" customHeight="1">
      <c r="A114" s="26">
        <v>108</v>
      </c>
      <c r="B114" s="26"/>
      <c r="C114" s="26"/>
      <c r="D114" s="26"/>
      <c r="E114" s="26"/>
      <c r="F114" s="26"/>
      <c r="G114" s="26"/>
      <c r="H114" s="26"/>
      <c r="I114" s="26"/>
      <c r="J114" s="26"/>
    </row>
    <row r="115" ht="15" customHeight="1">
      <c r="A115" s="27">
        <v>109</v>
      </c>
      <c r="B115" s="27"/>
      <c r="C115" s="27"/>
      <c r="D115" s="27"/>
      <c r="E115" s="27"/>
      <c r="F115" s="27"/>
      <c r="G115" s="27"/>
      <c r="H115" s="27"/>
      <c r="I115" s="27"/>
      <c r="J115" s="27"/>
    </row>
    <row r="116" ht="15" customHeight="1">
      <c r="A116" s="26">
        <v>110</v>
      </c>
      <c r="B116" s="26"/>
      <c r="C116" s="26"/>
      <c r="D116" s="26"/>
      <c r="E116" s="26"/>
      <c r="F116" s="26"/>
      <c r="G116" s="26"/>
      <c r="H116" s="26"/>
      <c r="I116" s="26"/>
      <c r="J116" s="26"/>
    </row>
    <row r="117" ht="15" customHeight="1">
      <c r="A117" s="27">
        <v>111</v>
      </c>
      <c r="B117" s="27"/>
      <c r="C117" s="27"/>
      <c r="D117" s="27"/>
      <c r="E117" s="27"/>
      <c r="F117" s="27"/>
      <c r="G117" s="27"/>
      <c r="H117" s="27"/>
      <c r="I117" s="27"/>
      <c r="J117" s="27"/>
    </row>
    <row r="118" ht="15" customHeight="1">
      <c r="A118" s="26">
        <v>112</v>
      </c>
      <c r="B118" s="26"/>
      <c r="C118" s="26"/>
      <c r="D118" s="26"/>
      <c r="E118" s="26"/>
      <c r="F118" s="26"/>
      <c r="G118" s="26"/>
      <c r="H118" s="26"/>
      <c r="I118" s="26"/>
      <c r="J118" s="26"/>
    </row>
    <row r="119" ht="15" customHeight="1">
      <c r="A119" s="27">
        <v>113</v>
      </c>
      <c r="B119" s="27"/>
      <c r="C119" s="27"/>
      <c r="D119" s="27"/>
      <c r="E119" s="27"/>
      <c r="F119" s="27"/>
      <c r="G119" s="27"/>
      <c r="H119" s="27"/>
      <c r="I119" s="27"/>
      <c r="J119" s="27"/>
    </row>
    <row r="120" ht="15" customHeight="1">
      <c r="A120" s="26">
        <v>114</v>
      </c>
      <c r="B120" s="26"/>
      <c r="C120" s="26"/>
      <c r="D120" s="26"/>
      <c r="E120" s="26"/>
      <c r="F120" s="26"/>
      <c r="G120" s="26"/>
      <c r="H120" s="26"/>
      <c r="I120" s="26"/>
      <c r="J120" s="26"/>
    </row>
    <row r="121" ht="15" customHeight="1">
      <c r="A121" s="27">
        <v>115</v>
      </c>
      <c r="B121" s="27"/>
      <c r="C121" s="27"/>
      <c r="D121" s="27"/>
      <c r="E121" s="27"/>
      <c r="F121" s="27"/>
      <c r="G121" s="27"/>
      <c r="H121" s="27"/>
      <c r="I121" s="27"/>
      <c r="J121" s="27"/>
    </row>
    <row r="122" ht="15" customHeight="1">
      <c r="A122" s="26">
        <v>116</v>
      </c>
      <c r="B122" s="26"/>
      <c r="C122" s="26"/>
      <c r="D122" s="26"/>
      <c r="E122" s="26"/>
      <c r="F122" s="26"/>
      <c r="G122" s="26"/>
      <c r="H122" s="26"/>
      <c r="I122" s="26"/>
      <c r="J122" s="26"/>
    </row>
    <row r="123" ht="15" customHeight="1">
      <c r="A123" s="27">
        <v>117</v>
      </c>
      <c r="B123" s="27"/>
      <c r="C123" s="27"/>
      <c r="D123" s="27"/>
      <c r="E123" s="27"/>
      <c r="F123" s="27"/>
      <c r="G123" s="27"/>
      <c r="H123" s="27"/>
      <c r="I123" s="27"/>
      <c r="J123" s="27"/>
    </row>
    <row r="124" ht="15" customHeight="1">
      <c r="A124" s="26">
        <v>118</v>
      </c>
      <c r="B124" s="26"/>
      <c r="C124" s="26"/>
      <c r="D124" s="26"/>
      <c r="E124" s="26"/>
      <c r="F124" s="26"/>
      <c r="G124" s="26"/>
      <c r="H124" s="26"/>
      <c r="I124" s="26"/>
      <c r="J124" s="26"/>
    </row>
    <row r="125" ht="15" customHeight="1">
      <c r="A125" s="27">
        <v>119</v>
      </c>
      <c r="B125" s="27"/>
      <c r="C125" s="27"/>
      <c r="D125" s="27"/>
      <c r="E125" s="27"/>
      <c r="F125" s="27"/>
      <c r="G125" s="27"/>
      <c r="H125" s="27"/>
      <c r="I125" s="27"/>
      <c r="J125" s="27"/>
    </row>
    <row r="126" ht="15" customHeight="1">
      <c r="A126" s="26">
        <v>120</v>
      </c>
      <c r="B126" s="26"/>
      <c r="C126" s="26"/>
      <c r="D126" s="26"/>
      <c r="E126" s="26"/>
      <c r="F126" s="26"/>
      <c r="G126" s="26"/>
      <c r="H126" s="26"/>
      <c r="I126" s="26"/>
      <c r="J126" s="26"/>
    </row>
    <row r="127" ht="15" customHeight="1">
      <c r="A127" s="27">
        <v>121</v>
      </c>
      <c r="B127" s="27"/>
      <c r="C127" s="27"/>
      <c r="D127" s="27"/>
      <c r="E127" s="27"/>
      <c r="F127" s="27"/>
      <c r="G127" s="27"/>
      <c r="H127" s="27"/>
      <c r="I127" s="27"/>
      <c r="J127" s="27"/>
    </row>
    <row r="128" ht="15" customHeight="1">
      <c r="A128" s="26">
        <v>122</v>
      </c>
      <c r="B128" s="26"/>
      <c r="C128" s="26"/>
      <c r="D128" s="26"/>
      <c r="E128" s="26"/>
      <c r="F128" s="26"/>
      <c r="G128" s="26"/>
      <c r="H128" s="26"/>
      <c r="I128" s="26"/>
      <c r="J128" s="26"/>
    </row>
    <row r="129" ht="15" customHeight="1">
      <c r="A129" s="27">
        <v>123</v>
      </c>
      <c r="B129" s="27"/>
      <c r="C129" s="27"/>
      <c r="D129" s="27"/>
      <c r="E129" s="27"/>
      <c r="F129" s="27"/>
      <c r="G129" s="27"/>
      <c r="H129" s="27"/>
      <c r="I129" s="27"/>
      <c r="J129" s="27"/>
    </row>
    <row r="130" ht="15" customHeight="1">
      <c r="A130" s="26">
        <v>124</v>
      </c>
      <c r="B130" s="26"/>
      <c r="C130" s="26"/>
      <c r="D130" s="26"/>
      <c r="E130" s="26"/>
      <c r="F130" s="26"/>
      <c r="G130" s="26"/>
      <c r="H130" s="26"/>
      <c r="I130" s="26"/>
      <c r="J130" s="26"/>
    </row>
    <row r="131" ht="15" customHeight="1">
      <c r="A131" s="27">
        <v>125</v>
      </c>
      <c r="B131" s="27"/>
      <c r="C131" s="27"/>
      <c r="D131" s="27"/>
      <c r="E131" s="27"/>
      <c r="F131" s="27"/>
      <c r="G131" s="27"/>
      <c r="H131" s="27"/>
      <c r="I131" s="27"/>
      <c r="J131" s="27"/>
    </row>
    <row r="132" ht="15" customHeight="1">
      <c r="A132" s="26">
        <v>126</v>
      </c>
      <c r="B132" s="26"/>
      <c r="C132" s="26"/>
      <c r="D132" s="26"/>
      <c r="E132" s="26"/>
      <c r="F132" s="26"/>
      <c r="G132" s="26"/>
      <c r="H132" s="26"/>
      <c r="I132" s="26"/>
      <c r="J132" s="26"/>
    </row>
    <row r="133" ht="15" customHeight="1">
      <c r="A133" s="27">
        <v>127</v>
      </c>
      <c r="B133" s="27"/>
      <c r="C133" s="27"/>
      <c r="D133" s="27"/>
      <c r="E133" s="27"/>
      <c r="F133" s="27"/>
      <c r="G133" s="27"/>
      <c r="H133" s="27"/>
      <c r="I133" s="27"/>
      <c r="J133" s="27"/>
    </row>
    <row r="134" ht="15" customHeight="1">
      <c r="A134" s="26">
        <v>128</v>
      </c>
      <c r="B134" s="26"/>
      <c r="C134" s="26"/>
      <c r="D134" s="26"/>
      <c r="E134" s="26"/>
      <c r="F134" s="26"/>
      <c r="G134" s="26"/>
      <c r="H134" s="26"/>
      <c r="I134" s="26"/>
      <c r="J134" s="26"/>
    </row>
    <row r="135" ht="15" customHeight="1">
      <c r="A135" s="27">
        <v>129</v>
      </c>
      <c r="B135" s="27"/>
      <c r="C135" s="27"/>
      <c r="D135" s="27"/>
      <c r="E135" s="27"/>
      <c r="F135" s="27"/>
      <c r="G135" s="27"/>
      <c r="H135" s="27"/>
      <c r="I135" s="27"/>
      <c r="J135" s="27"/>
    </row>
    <row r="136" ht="15" customHeight="1">
      <c r="A136" s="26">
        <v>130</v>
      </c>
      <c r="B136" s="26"/>
      <c r="C136" s="26"/>
      <c r="D136" s="26"/>
      <c r="E136" s="26"/>
      <c r="F136" s="26"/>
      <c r="G136" s="26"/>
      <c r="H136" s="26"/>
      <c r="I136" s="26"/>
      <c r="J136" s="26"/>
    </row>
    <row r="137" ht="15" customHeight="1">
      <c r="A137" s="27">
        <v>131</v>
      </c>
      <c r="B137" s="27"/>
      <c r="C137" s="27"/>
      <c r="D137" s="27"/>
      <c r="E137" s="27"/>
      <c r="F137" s="27"/>
      <c r="G137" s="27"/>
      <c r="H137" s="27"/>
      <c r="I137" s="27"/>
      <c r="J137" s="27"/>
    </row>
    <row r="138" ht="15" customHeight="1">
      <c r="A138" s="26">
        <v>132</v>
      </c>
      <c r="B138" s="26"/>
      <c r="C138" s="26"/>
      <c r="D138" s="26"/>
      <c r="E138" s="26"/>
      <c r="F138" s="26"/>
      <c r="G138" s="26"/>
      <c r="H138" s="26"/>
      <c r="I138" s="26"/>
      <c r="J138" s="26"/>
    </row>
    <row r="139" ht="15" customHeight="1">
      <c r="A139" s="27">
        <v>133</v>
      </c>
      <c r="B139" s="27"/>
      <c r="C139" s="27"/>
      <c r="D139" s="27"/>
      <c r="E139" s="27"/>
      <c r="F139" s="27"/>
      <c r="G139" s="27"/>
      <c r="H139" s="27"/>
      <c r="I139" s="27"/>
      <c r="J139" s="27"/>
    </row>
    <row r="140" ht="15" customHeight="1">
      <c r="A140" s="26">
        <v>134</v>
      </c>
      <c r="B140" s="26"/>
      <c r="C140" s="26"/>
      <c r="D140" s="26"/>
      <c r="E140" s="26"/>
      <c r="F140" s="26"/>
      <c r="G140" s="26"/>
      <c r="H140" s="26"/>
      <c r="I140" s="26"/>
      <c r="J140" s="26"/>
    </row>
    <row r="141" ht="15" customHeight="1">
      <c r="A141" s="27">
        <v>135</v>
      </c>
      <c r="B141" s="27"/>
      <c r="C141" s="27"/>
      <c r="D141" s="27"/>
      <c r="E141" s="27"/>
      <c r="F141" s="27"/>
      <c r="G141" s="27"/>
      <c r="H141" s="27"/>
      <c r="I141" s="27"/>
      <c r="J141" s="27"/>
    </row>
    <row r="142" ht="15" customHeight="1">
      <c r="A142" s="26">
        <v>136</v>
      </c>
      <c r="B142" s="26"/>
      <c r="C142" s="26"/>
      <c r="D142" s="26"/>
      <c r="E142" s="26"/>
      <c r="F142" s="26"/>
      <c r="G142" s="26"/>
      <c r="H142" s="26"/>
      <c r="I142" s="26"/>
      <c r="J142" s="26"/>
    </row>
    <row r="143" ht="15" customHeight="1">
      <c r="A143" s="27">
        <v>137</v>
      </c>
      <c r="B143" s="27"/>
      <c r="C143" s="27"/>
      <c r="D143" s="27"/>
      <c r="E143" s="27"/>
      <c r="F143" s="27"/>
      <c r="G143" s="27"/>
      <c r="H143" s="27"/>
      <c r="I143" s="27"/>
      <c r="J143" s="27"/>
    </row>
    <row r="144" ht="15" customHeight="1">
      <c r="A144" s="26">
        <v>138</v>
      </c>
      <c r="B144" s="26"/>
      <c r="C144" s="26"/>
      <c r="D144" s="26"/>
      <c r="E144" s="26"/>
      <c r="F144" s="26"/>
      <c r="G144" s="26"/>
      <c r="H144" s="26"/>
      <c r="I144" s="26"/>
      <c r="J144" s="26"/>
    </row>
    <row r="145" ht="15" customHeight="1">
      <c r="A145" s="27">
        <v>139</v>
      </c>
      <c r="B145" s="27"/>
      <c r="C145" s="27"/>
      <c r="D145" s="27"/>
      <c r="E145" s="27"/>
      <c r="F145" s="27"/>
      <c r="G145" s="27"/>
      <c r="H145" s="27"/>
      <c r="I145" s="27"/>
      <c r="J145" s="27"/>
    </row>
    <row r="146" ht="15" customHeight="1">
      <c r="A146" s="26">
        <v>140</v>
      </c>
      <c r="B146" s="26"/>
      <c r="C146" s="26"/>
      <c r="D146" s="26"/>
      <c r="E146" s="26"/>
      <c r="F146" s="26"/>
      <c r="G146" s="26"/>
      <c r="H146" s="26"/>
      <c r="I146" s="26"/>
      <c r="J146" s="26"/>
    </row>
    <row r="147" ht="15" customHeight="1">
      <c r="A147" s="27">
        <v>141</v>
      </c>
      <c r="B147" s="27"/>
      <c r="C147" s="27"/>
      <c r="D147" s="27"/>
      <c r="E147" s="27"/>
      <c r="F147" s="27"/>
      <c r="G147" s="27"/>
      <c r="H147" s="27"/>
      <c r="I147" s="27"/>
      <c r="J147" s="27"/>
    </row>
    <row r="148" ht="15" customHeight="1">
      <c r="A148" s="26">
        <v>142</v>
      </c>
      <c r="B148" s="26"/>
      <c r="C148" s="26"/>
      <c r="D148" s="26"/>
      <c r="E148" s="26"/>
      <c r="F148" s="26"/>
      <c r="G148" s="26"/>
      <c r="H148" s="26"/>
      <c r="I148" s="26"/>
      <c r="J148" s="26"/>
    </row>
    <row r="149" ht="15" customHeight="1">
      <c r="A149" s="27">
        <v>143</v>
      </c>
      <c r="B149" s="27"/>
      <c r="C149" s="27"/>
      <c r="D149" s="27"/>
      <c r="E149" s="27"/>
      <c r="F149" s="27"/>
      <c r="G149" s="27"/>
      <c r="H149" s="27"/>
      <c r="I149" s="27"/>
      <c r="J149" s="27"/>
    </row>
    <row r="150" ht="15" customHeight="1">
      <c r="A150" s="26">
        <v>144</v>
      </c>
      <c r="B150" s="26"/>
      <c r="C150" s="26"/>
      <c r="D150" s="26"/>
      <c r="E150" s="26"/>
      <c r="F150" s="26"/>
      <c r="G150" s="26"/>
      <c r="H150" s="26"/>
      <c r="I150" s="26"/>
      <c r="J150" s="26"/>
    </row>
    <row r="151" ht="15" customHeight="1">
      <c r="A151" s="27">
        <v>145</v>
      </c>
      <c r="B151" s="27"/>
      <c r="C151" s="27"/>
      <c r="D151" s="27"/>
      <c r="E151" s="27"/>
      <c r="F151" s="27"/>
      <c r="G151" s="27"/>
      <c r="H151" s="27"/>
      <c r="I151" s="27"/>
      <c r="J151" s="27"/>
    </row>
    <row r="152" ht="15" customHeight="1">
      <c r="A152" s="26">
        <v>146</v>
      </c>
      <c r="B152" s="26"/>
      <c r="C152" s="26"/>
      <c r="D152" s="26"/>
      <c r="E152" s="26"/>
      <c r="F152" s="26"/>
      <c r="G152" s="26"/>
      <c r="H152" s="26"/>
      <c r="I152" s="26"/>
      <c r="J152" s="26"/>
    </row>
    <row r="153" ht="15" customHeight="1">
      <c r="A153" s="27">
        <v>147</v>
      </c>
      <c r="B153" s="27"/>
      <c r="C153" s="27"/>
      <c r="D153" s="27"/>
      <c r="E153" s="27"/>
      <c r="F153" s="27"/>
      <c r="G153" s="27"/>
      <c r="H153" s="27"/>
      <c r="I153" s="27"/>
      <c r="J153" s="27"/>
    </row>
    <row r="154" ht="15" customHeight="1">
      <c r="A154" s="26">
        <v>148</v>
      </c>
      <c r="B154" s="26"/>
      <c r="C154" s="26"/>
      <c r="D154" s="26"/>
      <c r="E154" s="26"/>
      <c r="F154" s="26"/>
      <c r="G154" s="26"/>
      <c r="H154" s="26"/>
      <c r="I154" s="26"/>
      <c r="J154" s="26"/>
    </row>
    <row r="155" ht="15" customHeight="1">
      <c r="A155" s="27">
        <v>149</v>
      </c>
      <c r="B155" s="27"/>
      <c r="C155" s="27"/>
      <c r="D155" s="27"/>
      <c r="E155" s="27"/>
      <c r="F155" s="27"/>
      <c r="G155" s="27"/>
      <c r="H155" s="27"/>
      <c r="I155" s="27"/>
      <c r="J155" s="27"/>
    </row>
    <row r="156" ht="15" customHeight="1">
      <c r="A156" s="26">
        <v>150</v>
      </c>
      <c r="B156" s="26"/>
      <c r="C156" s="26"/>
      <c r="D156" s="26"/>
      <c r="E156" s="26"/>
      <c r="F156" s="26"/>
      <c r="G156" s="26"/>
      <c r="H156" s="26"/>
      <c r="I156" s="26"/>
      <c r="J156" s="26"/>
    </row>
    <row r="157" ht="15" customHeight="1">
      <c r="A157" s="27">
        <v>151</v>
      </c>
      <c r="B157" s="27"/>
      <c r="C157" s="27"/>
      <c r="D157" s="27"/>
      <c r="E157" s="27"/>
      <c r="F157" s="27"/>
      <c r="G157" s="27"/>
      <c r="H157" s="27"/>
      <c r="I157" s="27"/>
      <c r="J157" s="27"/>
    </row>
    <row r="158" ht="15" customHeight="1">
      <c r="A158" s="26">
        <v>152</v>
      </c>
      <c r="B158" s="26"/>
      <c r="C158" s="26"/>
      <c r="D158" s="26"/>
      <c r="E158" s="26"/>
      <c r="F158" s="26"/>
      <c r="G158" s="26"/>
      <c r="H158" s="26"/>
      <c r="I158" s="26"/>
      <c r="J158" s="26"/>
    </row>
    <row r="159" ht="15" customHeight="1">
      <c r="A159" s="27">
        <v>153</v>
      </c>
      <c r="B159" s="27"/>
      <c r="C159" s="27"/>
      <c r="D159" s="27"/>
      <c r="E159" s="27"/>
      <c r="F159" s="27"/>
      <c r="G159" s="27"/>
      <c r="H159" s="27"/>
      <c r="I159" s="27"/>
      <c r="J159" s="27"/>
    </row>
    <row r="160" ht="15" customHeight="1">
      <c r="A160" s="26">
        <v>154</v>
      </c>
      <c r="B160" s="26"/>
      <c r="C160" s="26"/>
      <c r="D160" s="26"/>
      <c r="E160" s="26"/>
      <c r="F160" s="26"/>
      <c r="G160" s="26"/>
      <c r="H160" s="26"/>
      <c r="I160" s="26"/>
      <c r="J160" s="26"/>
    </row>
    <row r="161" ht="15" customHeight="1">
      <c r="A161" s="27">
        <v>155</v>
      </c>
      <c r="B161" s="27"/>
      <c r="C161" s="27"/>
      <c r="D161" s="27"/>
      <c r="E161" s="27"/>
      <c r="F161" s="27"/>
      <c r="G161" s="27"/>
      <c r="H161" s="27"/>
      <c r="I161" s="27"/>
      <c r="J161" s="27"/>
    </row>
    <row r="162" ht="15" customHeight="1">
      <c r="A162" s="26">
        <v>156</v>
      </c>
      <c r="B162" s="26"/>
      <c r="C162" s="26"/>
      <c r="D162" s="26"/>
      <c r="E162" s="26"/>
      <c r="F162" s="26"/>
      <c r="G162" s="26"/>
      <c r="H162" s="26"/>
      <c r="I162" s="26"/>
      <c r="J162" s="26"/>
    </row>
    <row r="163" ht="15" customHeight="1">
      <c r="A163" s="27">
        <v>157</v>
      </c>
      <c r="B163" s="27"/>
      <c r="C163" s="27"/>
      <c r="D163" s="27"/>
      <c r="E163" s="27"/>
      <c r="F163" s="27"/>
      <c r="G163" s="27"/>
      <c r="H163" s="27"/>
      <c r="I163" s="27"/>
      <c r="J163" s="27"/>
    </row>
    <row r="164" ht="15" customHeight="1">
      <c r="A164" s="26">
        <v>158</v>
      </c>
      <c r="B164" s="26"/>
      <c r="C164" s="26"/>
      <c r="D164" s="26"/>
      <c r="E164" s="26"/>
      <c r="F164" s="26"/>
      <c r="G164" s="26"/>
      <c r="H164" s="26"/>
      <c r="I164" s="26"/>
      <c r="J164" s="26"/>
    </row>
    <row r="165" ht="15" customHeight="1">
      <c r="A165" s="27">
        <v>159</v>
      </c>
      <c r="B165" s="27"/>
      <c r="C165" s="27"/>
      <c r="D165" s="27"/>
      <c r="E165" s="27"/>
      <c r="F165" s="27"/>
      <c r="G165" s="27"/>
      <c r="H165" s="27"/>
      <c r="I165" s="27"/>
      <c r="J165" s="27"/>
    </row>
    <row r="166" ht="15" customHeight="1">
      <c r="A166" s="26">
        <v>160</v>
      </c>
      <c r="B166" s="26"/>
      <c r="C166" s="26"/>
      <c r="D166" s="26"/>
      <c r="E166" s="26"/>
      <c r="F166" s="26"/>
      <c r="G166" s="26"/>
      <c r="H166" s="26"/>
      <c r="I166" s="26"/>
      <c r="J166" s="26"/>
    </row>
    <row r="167" ht="15" customHeight="1">
      <c r="A167" s="27">
        <v>161</v>
      </c>
      <c r="B167" s="27"/>
      <c r="C167" s="27"/>
      <c r="D167" s="27"/>
      <c r="E167" s="27"/>
      <c r="F167" s="27"/>
      <c r="G167" s="27"/>
      <c r="H167" s="27"/>
      <c r="I167" s="27"/>
      <c r="J167" s="27"/>
    </row>
    <row r="168" ht="15" customHeight="1">
      <c r="A168" s="26">
        <v>162</v>
      </c>
      <c r="B168" s="26"/>
      <c r="C168" s="26"/>
      <c r="D168" s="26"/>
      <c r="E168" s="26"/>
      <c r="F168" s="26"/>
      <c r="G168" s="26"/>
      <c r="H168" s="26"/>
      <c r="I168" s="26"/>
      <c r="J168" s="26"/>
    </row>
    <row r="169" ht="15" customHeight="1">
      <c r="A169" s="27">
        <v>163</v>
      </c>
      <c r="B169" s="27"/>
      <c r="C169" s="27"/>
      <c r="D169" s="27"/>
      <c r="E169" s="27"/>
      <c r="F169" s="27"/>
      <c r="G169" s="27"/>
      <c r="H169" s="27"/>
      <c r="I169" s="27"/>
      <c r="J169" s="27"/>
    </row>
    <row r="170" ht="15" customHeight="1">
      <c r="A170" s="26">
        <v>164</v>
      </c>
      <c r="B170" s="26"/>
      <c r="C170" s="26"/>
      <c r="D170" s="26"/>
      <c r="E170" s="26"/>
      <c r="F170" s="26"/>
      <c r="G170" s="26"/>
      <c r="H170" s="26"/>
      <c r="I170" s="26"/>
      <c r="J170" s="26"/>
    </row>
    <row r="171" ht="15" customHeight="1">
      <c r="A171" s="27">
        <v>165</v>
      </c>
      <c r="B171" s="27"/>
      <c r="C171" s="27"/>
      <c r="D171" s="27"/>
      <c r="E171" s="27"/>
      <c r="F171" s="27"/>
      <c r="G171" s="27"/>
      <c r="H171" s="27"/>
      <c r="I171" s="27"/>
      <c r="J171" s="27"/>
    </row>
    <row r="172" ht="15" customHeight="1">
      <c r="A172" s="26">
        <v>166</v>
      </c>
      <c r="B172" s="26"/>
      <c r="C172" s="26"/>
      <c r="D172" s="26"/>
      <c r="E172" s="26"/>
      <c r="F172" s="26"/>
      <c r="G172" s="26"/>
      <c r="H172" s="26"/>
      <c r="I172" s="26"/>
      <c r="J172" s="26"/>
    </row>
    <row r="173" ht="15" customHeight="1">
      <c r="A173" s="27">
        <v>167</v>
      </c>
      <c r="B173" s="27"/>
      <c r="C173" s="27"/>
      <c r="D173" s="27"/>
      <c r="E173" s="27"/>
      <c r="F173" s="27"/>
      <c r="G173" s="27"/>
      <c r="H173" s="27"/>
      <c r="I173" s="27"/>
      <c r="J173" s="27"/>
    </row>
    <row r="174" ht="15" customHeight="1">
      <c r="A174" s="26">
        <v>168</v>
      </c>
      <c r="B174" s="26"/>
      <c r="C174" s="26"/>
      <c r="D174" s="26"/>
      <c r="E174" s="26"/>
      <c r="F174" s="26"/>
      <c r="G174" s="26"/>
      <c r="H174" s="26"/>
      <c r="I174" s="26"/>
      <c r="J174" s="26"/>
    </row>
    <row r="175" ht="15" customHeight="1">
      <c r="A175" s="27">
        <v>169</v>
      </c>
      <c r="B175" s="27"/>
      <c r="C175" s="27"/>
      <c r="D175" s="27"/>
      <c r="E175" s="27"/>
      <c r="F175" s="27"/>
      <c r="G175" s="27"/>
      <c r="H175" s="27"/>
      <c r="I175" s="27"/>
      <c r="J175" s="27"/>
    </row>
    <row r="176" ht="15" customHeight="1">
      <c r="A176" s="26">
        <v>170</v>
      </c>
      <c r="B176" s="26"/>
      <c r="C176" s="26"/>
      <c r="D176" s="26"/>
      <c r="E176" s="26"/>
      <c r="F176" s="26"/>
      <c r="G176" s="26"/>
      <c r="H176" s="26"/>
      <c r="I176" s="26"/>
      <c r="J176" s="26"/>
    </row>
    <row r="177" ht="15" customHeight="1">
      <c r="A177" s="27">
        <v>171</v>
      </c>
      <c r="B177" s="27"/>
      <c r="C177" s="27"/>
      <c r="D177" s="27"/>
      <c r="E177" s="27"/>
      <c r="F177" s="27"/>
      <c r="G177" s="27"/>
      <c r="H177" s="27"/>
      <c r="I177" s="27"/>
      <c r="J177" s="27"/>
    </row>
    <row r="178" ht="15" customHeight="1">
      <c r="A178" s="26">
        <v>172</v>
      </c>
      <c r="B178" s="26"/>
      <c r="C178" s="26"/>
      <c r="D178" s="26"/>
      <c r="E178" s="26"/>
      <c r="F178" s="26"/>
      <c r="G178" s="26"/>
      <c r="H178" s="26"/>
      <c r="I178" s="26"/>
      <c r="J178" s="26"/>
    </row>
    <row r="179" ht="15" customHeight="1">
      <c r="A179" s="27">
        <v>173</v>
      </c>
      <c r="B179" s="27"/>
      <c r="C179" s="27"/>
      <c r="D179" s="27"/>
      <c r="E179" s="27"/>
      <c r="F179" s="27"/>
      <c r="G179" s="27"/>
      <c r="H179" s="27"/>
      <c r="I179" s="27"/>
      <c r="J179" s="27"/>
    </row>
    <row r="180" ht="15" customHeight="1">
      <c r="A180" s="26">
        <v>174</v>
      </c>
      <c r="B180" s="26"/>
      <c r="C180" s="26"/>
      <c r="D180" s="26"/>
      <c r="E180" s="26"/>
      <c r="F180" s="26"/>
      <c r="G180" s="26"/>
      <c r="H180" s="26"/>
      <c r="I180" s="26"/>
      <c r="J180" s="26"/>
    </row>
    <row r="181" ht="15" customHeight="1">
      <c r="A181" s="27">
        <v>175</v>
      </c>
      <c r="B181" s="27"/>
      <c r="C181" s="27"/>
      <c r="D181" s="27"/>
      <c r="E181" s="27"/>
      <c r="F181" s="27"/>
      <c r="G181" s="27"/>
      <c r="H181" s="27"/>
      <c r="I181" s="27"/>
      <c r="J181" s="27"/>
    </row>
    <row r="182" ht="15" customHeight="1">
      <c r="A182" s="26">
        <v>176</v>
      </c>
      <c r="B182" s="26"/>
      <c r="C182" s="26"/>
      <c r="D182" s="26"/>
      <c r="E182" s="26"/>
      <c r="F182" s="26"/>
      <c r="G182" s="26"/>
      <c r="H182" s="26"/>
      <c r="I182" s="26"/>
      <c r="J182" s="26"/>
    </row>
    <row r="183" ht="15" customHeight="1">
      <c r="A183" s="27">
        <v>177</v>
      </c>
      <c r="B183" s="27"/>
      <c r="C183" s="27"/>
      <c r="D183" s="27"/>
      <c r="E183" s="27"/>
      <c r="F183" s="27"/>
      <c r="G183" s="27"/>
      <c r="H183" s="27"/>
      <c r="I183" s="27"/>
      <c r="J183" s="27"/>
    </row>
    <row r="184" ht="15" customHeight="1">
      <c r="A184" s="26">
        <v>178</v>
      </c>
      <c r="B184" s="26"/>
      <c r="C184" s="26"/>
      <c r="D184" s="26"/>
      <c r="E184" s="26"/>
      <c r="F184" s="26"/>
      <c r="G184" s="26"/>
      <c r="H184" s="26"/>
      <c r="I184" s="26"/>
      <c r="J184" s="26"/>
    </row>
    <row r="185" ht="15" customHeight="1">
      <c r="A185" s="27">
        <v>179</v>
      </c>
      <c r="B185" s="27"/>
      <c r="C185" s="27"/>
      <c r="D185" s="27"/>
      <c r="E185" s="27"/>
      <c r="F185" s="27"/>
      <c r="G185" s="27"/>
      <c r="H185" s="27"/>
      <c r="I185" s="27"/>
      <c r="J185" s="27"/>
    </row>
    <row r="186" ht="15" customHeight="1">
      <c r="A186" s="26">
        <v>180</v>
      </c>
      <c r="B186" s="26"/>
      <c r="C186" s="26"/>
      <c r="D186" s="26"/>
      <c r="E186" s="26"/>
      <c r="F186" s="26"/>
      <c r="G186" s="26"/>
      <c r="H186" s="26"/>
      <c r="I186" s="26"/>
      <c r="J186" s="26"/>
    </row>
    <row r="187" ht="15" customHeight="1">
      <c r="A187" s="27">
        <v>181</v>
      </c>
      <c r="B187" s="27"/>
      <c r="C187" s="27"/>
      <c r="D187" s="27"/>
      <c r="E187" s="27"/>
      <c r="F187" s="27"/>
      <c r="G187" s="27"/>
      <c r="H187" s="27"/>
      <c r="I187" s="27"/>
      <c r="J187" s="27"/>
    </row>
    <row r="188" ht="15" customHeight="1">
      <c r="A188" s="26">
        <v>182</v>
      </c>
      <c r="B188" s="26"/>
      <c r="C188" s="26"/>
      <c r="D188" s="26"/>
      <c r="E188" s="26"/>
      <c r="F188" s="26"/>
      <c r="G188" s="26"/>
      <c r="H188" s="26"/>
      <c r="I188" s="26"/>
      <c r="J188" s="26"/>
    </row>
    <row r="189" ht="15" customHeight="1">
      <c r="A189" s="27">
        <v>183</v>
      </c>
      <c r="B189" s="27"/>
      <c r="C189" s="27"/>
      <c r="D189" s="27"/>
      <c r="E189" s="27"/>
      <c r="F189" s="27"/>
      <c r="G189" s="27"/>
      <c r="H189" s="27"/>
      <c r="I189" s="27"/>
      <c r="J189" s="27"/>
    </row>
    <row r="190" ht="15" customHeight="1">
      <c r="A190" s="26">
        <v>184</v>
      </c>
      <c r="B190" s="26"/>
      <c r="C190" s="26"/>
      <c r="D190" s="26"/>
      <c r="E190" s="26"/>
      <c r="F190" s="26"/>
      <c r="G190" s="26"/>
      <c r="H190" s="26"/>
      <c r="I190" s="26"/>
      <c r="J190" s="26"/>
    </row>
    <row r="191" ht="15" customHeight="1">
      <c r="A191" s="27">
        <v>185</v>
      </c>
      <c r="B191" s="27"/>
      <c r="C191" s="27"/>
      <c r="D191" s="27"/>
      <c r="E191" s="27"/>
      <c r="F191" s="27"/>
      <c r="G191" s="27"/>
      <c r="H191" s="27"/>
      <c r="I191" s="27"/>
      <c r="J191" s="27"/>
    </row>
    <row r="192" ht="15" customHeight="1">
      <c r="A192" s="26">
        <v>186</v>
      </c>
      <c r="B192" s="26"/>
      <c r="C192" s="26"/>
      <c r="D192" s="26"/>
      <c r="E192" s="26"/>
      <c r="F192" s="26"/>
      <c r="G192" s="26"/>
      <c r="H192" s="26"/>
      <c r="I192" s="26"/>
      <c r="J192" s="26"/>
    </row>
    <row r="193" ht="15" customHeight="1">
      <c r="A193" s="27">
        <v>187</v>
      </c>
      <c r="B193" s="27"/>
      <c r="C193" s="27"/>
      <c r="D193" s="27"/>
      <c r="E193" s="27"/>
      <c r="F193" s="27"/>
      <c r="G193" s="27"/>
      <c r="H193" s="27"/>
      <c r="I193" s="27"/>
      <c r="J193" s="27"/>
    </row>
    <row r="194" ht="15" customHeight="1">
      <c r="A194" s="26">
        <v>188</v>
      </c>
      <c r="B194" s="26"/>
      <c r="C194" s="26"/>
      <c r="D194" s="26"/>
      <c r="E194" s="26"/>
      <c r="F194" s="26"/>
      <c r="G194" s="26"/>
      <c r="H194" s="26"/>
      <c r="I194" s="26"/>
      <c r="J194" s="26"/>
    </row>
    <row r="195" ht="15" customHeight="1">
      <c r="A195" s="27">
        <v>189</v>
      </c>
      <c r="B195" s="27"/>
      <c r="C195" s="27"/>
      <c r="D195" s="27"/>
      <c r="E195" s="27"/>
      <c r="F195" s="27"/>
      <c r="G195" s="27"/>
      <c r="H195" s="27"/>
      <c r="I195" s="27"/>
      <c r="J195" s="27"/>
    </row>
    <row r="196" ht="15" customHeight="1">
      <c r="A196" s="26">
        <v>190</v>
      </c>
      <c r="B196" s="26"/>
      <c r="C196" s="26"/>
      <c r="D196" s="26"/>
      <c r="E196" s="26"/>
      <c r="F196" s="26"/>
      <c r="G196" s="26"/>
      <c r="H196" s="26"/>
      <c r="I196" s="26"/>
      <c r="J196" s="26"/>
    </row>
    <row r="197" ht="15" customHeight="1">
      <c r="A197" s="27">
        <v>191</v>
      </c>
      <c r="B197" s="27"/>
      <c r="C197" s="27"/>
      <c r="D197" s="27"/>
      <c r="E197" s="27"/>
      <c r="F197" s="27"/>
      <c r="G197" s="27"/>
      <c r="H197" s="27"/>
      <c r="I197" s="27"/>
      <c r="J197" s="27"/>
    </row>
    <row r="198" ht="15" customHeight="1">
      <c r="A198" s="26">
        <v>192</v>
      </c>
      <c r="B198" s="26"/>
      <c r="C198" s="26"/>
      <c r="D198" s="26"/>
      <c r="E198" s="26"/>
      <c r="F198" s="26"/>
      <c r="G198" s="26"/>
      <c r="H198" s="26"/>
      <c r="I198" s="26"/>
      <c r="J198" s="26"/>
    </row>
    <row r="199" ht="15" customHeight="1">
      <c r="A199" s="27">
        <v>193</v>
      </c>
      <c r="B199" s="27"/>
      <c r="C199" s="27"/>
      <c r="D199" s="27"/>
      <c r="E199" s="27"/>
      <c r="F199" s="27"/>
      <c r="G199" s="27"/>
      <c r="H199" s="27"/>
      <c r="I199" s="27"/>
      <c r="J199" s="27"/>
    </row>
    <row r="200" ht="15" customHeight="1">
      <c r="A200" s="26">
        <v>194</v>
      </c>
      <c r="B200" s="26"/>
      <c r="C200" s="26"/>
      <c r="D200" s="26"/>
      <c r="E200" s="26"/>
      <c r="F200" s="26"/>
      <c r="G200" s="26"/>
      <c r="H200" s="26"/>
      <c r="I200" s="26"/>
      <c r="J200" s="26"/>
    </row>
    <row r="201" ht="15" customHeight="1">
      <c r="A201" s="27">
        <v>195</v>
      </c>
      <c r="B201" s="27"/>
      <c r="C201" s="27"/>
      <c r="D201" s="27"/>
      <c r="E201" s="27"/>
      <c r="F201" s="27"/>
      <c r="G201" s="27"/>
      <c r="H201" s="27"/>
      <c r="I201" s="27"/>
      <c r="J201" s="27"/>
    </row>
    <row r="202" ht="15" customHeight="1">
      <c r="A202" s="26">
        <v>196</v>
      </c>
      <c r="B202" s="26"/>
      <c r="C202" s="26"/>
      <c r="D202" s="26"/>
      <c r="E202" s="26"/>
      <c r="F202" s="26"/>
      <c r="G202" s="26"/>
      <c r="H202" s="26"/>
      <c r="I202" s="26"/>
      <c r="J202" s="26"/>
    </row>
    <row r="203" ht="15" customHeight="1">
      <c r="A203" s="27">
        <v>197</v>
      </c>
      <c r="B203" s="27"/>
      <c r="C203" s="27"/>
      <c r="D203" s="27"/>
      <c r="E203" s="27"/>
      <c r="F203" s="27"/>
      <c r="G203" s="27"/>
      <c r="H203" s="27"/>
      <c r="I203" s="27"/>
      <c r="J203" s="27"/>
    </row>
    <row r="204" ht="15" customHeight="1">
      <c r="A204" s="26">
        <v>198</v>
      </c>
      <c r="B204" s="26"/>
      <c r="C204" s="26"/>
      <c r="D204" s="26"/>
      <c r="E204" s="26"/>
      <c r="F204" s="26"/>
      <c r="G204" s="26"/>
      <c r="H204" s="26"/>
      <c r="I204" s="26"/>
      <c r="J204" s="26"/>
    </row>
    <row r="205" ht="15" customHeight="1">
      <c r="A205" s="27">
        <v>199</v>
      </c>
      <c r="B205" s="27"/>
      <c r="C205" s="27"/>
      <c r="D205" s="27"/>
      <c r="E205" s="27"/>
      <c r="F205" s="27"/>
      <c r="G205" s="27"/>
      <c r="H205" s="27"/>
      <c r="I205" s="27"/>
      <c r="J205" s="27"/>
    </row>
    <row r="206" ht="15" customHeight="1">
      <c r="A206" s="26">
        <v>200</v>
      </c>
      <c r="B206" s="26"/>
      <c r="C206" s="26"/>
      <c r="D206" s="26"/>
      <c r="E206" s="26"/>
      <c r="F206" s="26"/>
      <c r="G206" s="26"/>
      <c r="H206" s="26"/>
      <c r="I206" s="26"/>
      <c r="J206" s="26"/>
    </row>
    <row r="207" ht="15" customHeight="1">
      <c r="A207" s="27">
        <v>201</v>
      </c>
      <c r="B207" s="27"/>
      <c r="C207" s="27"/>
      <c r="D207" s="27"/>
      <c r="E207" s="27"/>
      <c r="F207" s="27"/>
      <c r="G207" s="27"/>
      <c r="H207" s="27"/>
      <c r="I207" s="27"/>
      <c r="J207" s="27"/>
    </row>
    <row r="208" ht="15" customHeight="1">
      <c r="A208" s="26">
        <v>202</v>
      </c>
      <c r="B208" s="26"/>
      <c r="C208" s="26"/>
      <c r="D208" s="26"/>
      <c r="E208" s="26"/>
      <c r="F208" s="26"/>
      <c r="G208" s="26"/>
      <c r="H208" s="26"/>
      <c r="I208" s="26"/>
      <c r="J208" s="26"/>
    </row>
    <row r="209" ht="15" customHeight="1">
      <c r="A209" s="27">
        <v>203</v>
      </c>
      <c r="B209" s="27"/>
      <c r="C209" s="27"/>
      <c r="D209" s="27"/>
      <c r="E209" s="27"/>
      <c r="F209" s="27"/>
      <c r="G209" s="27"/>
      <c r="H209" s="27"/>
      <c r="I209" s="27"/>
      <c r="J209" s="27"/>
    </row>
    <row r="210" ht="15" customHeight="1">
      <c r="A210" s="26">
        <v>204</v>
      </c>
      <c r="B210" s="26"/>
      <c r="C210" s="26"/>
      <c r="D210" s="26"/>
      <c r="E210" s="26"/>
      <c r="F210" s="26"/>
      <c r="G210" s="26"/>
      <c r="H210" s="26"/>
      <c r="I210" s="26"/>
      <c r="J210" s="26"/>
    </row>
    <row r="211" ht="15" customHeight="1">
      <c r="A211" s="27">
        <v>205</v>
      </c>
      <c r="B211" s="27"/>
      <c r="C211" s="27"/>
      <c r="D211" s="27"/>
      <c r="E211" s="27"/>
      <c r="F211" s="27"/>
      <c r="G211" s="27"/>
      <c r="H211" s="27"/>
      <c r="I211" s="27"/>
      <c r="J211" s="27"/>
    </row>
    <row r="212" ht="15" customHeight="1">
      <c r="A212" s="26">
        <v>206</v>
      </c>
      <c r="B212" s="26"/>
      <c r="C212" s="26"/>
      <c r="D212" s="26"/>
      <c r="E212" s="26"/>
      <c r="F212" s="26"/>
      <c r="G212" s="26"/>
      <c r="H212" s="26"/>
      <c r="I212" s="26"/>
      <c r="J212" s="26"/>
    </row>
    <row r="213" ht="15" customHeight="1">
      <c r="A213" s="27">
        <v>207</v>
      </c>
      <c r="B213" s="27"/>
      <c r="C213" s="27"/>
      <c r="D213" s="27"/>
      <c r="E213" s="27"/>
      <c r="F213" s="27"/>
      <c r="G213" s="27"/>
      <c r="H213" s="27"/>
      <c r="I213" s="27"/>
      <c r="J213" s="27"/>
    </row>
    <row r="214" ht="15" customHeight="1">
      <c r="A214" s="26">
        <v>208</v>
      </c>
      <c r="B214" s="26"/>
      <c r="C214" s="26"/>
      <c r="D214" s="26"/>
      <c r="E214" s="26"/>
      <c r="F214" s="26"/>
      <c r="G214" s="26"/>
      <c r="H214" s="26"/>
      <c r="I214" s="26"/>
      <c r="J214" s="26"/>
    </row>
    <row r="215" ht="15" customHeight="1">
      <c r="A215" s="27">
        <v>209</v>
      </c>
      <c r="B215" s="27"/>
      <c r="C215" s="27"/>
      <c r="D215" s="27"/>
      <c r="E215" s="27"/>
      <c r="F215" s="27"/>
      <c r="G215" s="27"/>
      <c r="H215" s="27"/>
      <c r="I215" s="27"/>
      <c r="J215" s="27"/>
    </row>
    <row r="216" ht="15" customHeight="1">
      <c r="A216" s="26">
        <v>210</v>
      </c>
      <c r="B216" s="26"/>
      <c r="C216" s="26"/>
      <c r="D216" s="26"/>
      <c r="E216" s="26"/>
      <c r="F216" s="26"/>
      <c r="G216" s="26"/>
      <c r="H216" s="26"/>
      <c r="I216" s="26"/>
      <c r="J216" s="26"/>
    </row>
    <row r="217" ht="15" customHeight="1">
      <c r="A217" s="27">
        <v>211</v>
      </c>
      <c r="B217" s="27"/>
      <c r="C217" s="27"/>
      <c r="D217" s="27"/>
      <c r="E217" s="27"/>
      <c r="F217" s="27"/>
      <c r="G217" s="27"/>
      <c r="H217" s="27"/>
      <c r="I217" s="27"/>
      <c r="J217" s="27"/>
    </row>
    <row r="218" ht="15" customHeight="1">
      <c r="A218" s="26">
        <v>212</v>
      </c>
      <c r="B218" s="26"/>
      <c r="C218" s="26"/>
      <c r="D218" s="26"/>
      <c r="E218" s="26"/>
      <c r="F218" s="26"/>
      <c r="G218" s="26"/>
      <c r="H218" s="26"/>
      <c r="I218" s="26"/>
      <c r="J218" s="26"/>
    </row>
    <row r="219" ht="15" customHeight="1">
      <c r="A219" s="27">
        <v>213</v>
      </c>
      <c r="B219" s="27"/>
      <c r="C219" s="27"/>
      <c r="D219" s="27"/>
      <c r="E219" s="27"/>
      <c r="F219" s="27"/>
      <c r="G219" s="27"/>
      <c r="H219" s="27"/>
      <c r="I219" s="27"/>
      <c r="J219" s="27"/>
    </row>
    <row r="220" ht="15" customHeight="1">
      <c r="A220" s="26">
        <v>214</v>
      </c>
      <c r="B220" s="26"/>
      <c r="C220" s="26"/>
      <c r="D220" s="26"/>
      <c r="E220" s="26"/>
      <c r="F220" s="26"/>
      <c r="G220" s="26"/>
      <c r="H220" s="26"/>
      <c r="I220" s="26"/>
      <c r="J220" s="26"/>
    </row>
    <row r="221" ht="15" customHeight="1">
      <c r="A221" s="27">
        <v>215</v>
      </c>
      <c r="B221" s="27"/>
      <c r="C221" s="27"/>
      <c r="D221" s="27"/>
      <c r="E221" s="27"/>
      <c r="F221" s="27"/>
      <c r="G221" s="27"/>
      <c r="H221" s="27"/>
      <c r="I221" s="27"/>
      <c r="J221" s="27"/>
    </row>
    <row r="222" ht="15" customHeight="1">
      <c r="A222" s="26">
        <v>216</v>
      </c>
      <c r="B222" s="26"/>
      <c r="C222" s="26"/>
      <c r="D222" s="26"/>
      <c r="E222" s="26"/>
      <c r="F222" s="26"/>
      <c r="G222" s="26"/>
      <c r="H222" s="26"/>
      <c r="I222" s="26"/>
      <c r="J222" s="26"/>
    </row>
    <row r="223" ht="15" customHeight="1">
      <c r="A223" s="27">
        <v>217</v>
      </c>
      <c r="B223" s="27"/>
      <c r="C223" s="27"/>
      <c r="D223" s="27"/>
      <c r="E223" s="27"/>
      <c r="F223" s="27"/>
      <c r="G223" s="27"/>
      <c r="H223" s="27"/>
      <c r="I223" s="27"/>
      <c r="J223" s="27"/>
    </row>
    <row r="224" ht="15" customHeight="1">
      <c r="A224" s="26">
        <v>218</v>
      </c>
      <c r="B224" s="26"/>
      <c r="C224" s="26"/>
      <c r="D224" s="26"/>
      <c r="E224" s="26"/>
      <c r="F224" s="26"/>
      <c r="G224" s="26"/>
      <c r="H224" s="26"/>
      <c r="I224" s="26"/>
      <c r="J224" s="26"/>
    </row>
    <row r="225" ht="15" customHeight="1">
      <c r="A225" s="27">
        <v>219</v>
      </c>
      <c r="B225" s="27"/>
      <c r="C225" s="27"/>
      <c r="D225" s="27"/>
      <c r="E225" s="27"/>
      <c r="F225" s="27"/>
      <c r="G225" s="27"/>
      <c r="H225" s="27"/>
      <c r="I225" s="27"/>
      <c r="J225" s="27"/>
    </row>
    <row r="226" ht="15" customHeight="1">
      <c r="A226" s="26">
        <v>220</v>
      </c>
      <c r="B226" s="26"/>
      <c r="C226" s="26"/>
      <c r="D226" s="26"/>
      <c r="E226" s="26"/>
      <c r="F226" s="26"/>
      <c r="G226" s="26"/>
      <c r="H226" s="26"/>
      <c r="I226" s="26"/>
      <c r="J226" s="26"/>
    </row>
    <row r="227" ht="15" customHeight="1">
      <c r="A227" s="27">
        <v>221</v>
      </c>
      <c r="B227" s="27"/>
      <c r="C227" s="27"/>
      <c r="D227" s="27"/>
      <c r="E227" s="27"/>
      <c r="F227" s="27"/>
      <c r="G227" s="27"/>
      <c r="H227" s="27"/>
      <c r="I227" s="27"/>
      <c r="J227" s="27"/>
    </row>
    <row r="228" ht="15" customHeight="1">
      <c r="A228" s="26">
        <v>222</v>
      </c>
      <c r="B228" s="26"/>
      <c r="C228" s="26"/>
      <c r="D228" s="26"/>
      <c r="E228" s="26"/>
      <c r="F228" s="26"/>
      <c r="G228" s="26"/>
      <c r="H228" s="26"/>
      <c r="I228" s="26"/>
      <c r="J228" s="26"/>
    </row>
    <row r="229" ht="15" customHeight="1">
      <c r="A229" s="27">
        <v>223</v>
      </c>
      <c r="B229" s="27"/>
      <c r="C229" s="27"/>
      <c r="D229" s="27"/>
      <c r="E229" s="27"/>
      <c r="F229" s="27"/>
      <c r="G229" s="27"/>
      <c r="H229" s="27"/>
      <c r="I229" s="27"/>
      <c r="J229" s="27"/>
    </row>
    <row r="230" ht="15" customHeight="1">
      <c r="A230" s="26">
        <v>224</v>
      </c>
      <c r="B230" s="26"/>
      <c r="C230" s="26"/>
      <c r="D230" s="26"/>
      <c r="E230" s="26"/>
      <c r="F230" s="26"/>
      <c r="G230" s="26"/>
      <c r="H230" s="26"/>
      <c r="I230" s="26"/>
      <c r="J230" s="26"/>
    </row>
    <row r="231" ht="15" customHeight="1">
      <c r="A231" s="27">
        <v>225</v>
      </c>
      <c r="B231" s="27"/>
      <c r="C231" s="27"/>
      <c r="D231" s="27"/>
      <c r="E231" s="27"/>
      <c r="F231" s="27"/>
      <c r="G231" s="27"/>
      <c r="H231" s="27"/>
      <c r="I231" s="27"/>
      <c r="J231" s="27"/>
    </row>
    <row r="232" ht="15" customHeight="1">
      <c r="A232" s="26">
        <v>226</v>
      </c>
      <c r="B232" s="26"/>
      <c r="C232" s="26"/>
      <c r="D232" s="26"/>
      <c r="E232" s="26"/>
      <c r="F232" s="26"/>
      <c r="G232" s="26"/>
      <c r="H232" s="26"/>
      <c r="I232" s="26"/>
      <c r="J232" s="26"/>
    </row>
    <row r="233" ht="15" customHeight="1">
      <c r="A233" s="27">
        <v>227</v>
      </c>
      <c r="B233" s="27"/>
      <c r="C233" s="27"/>
      <c r="D233" s="27"/>
      <c r="E233" s="27"/>
      <c r="F233" s="27"/>
      <c r="G233" s="27"/>
      <c r="H233" s="27"/>
      <c r="I233" s="27"/>
      <c r="J233" s="27"/>
    </row>
    <row r="234" ht="15" customHeight="1">
      <c r="A234" s="26">
        <v>228</v>
      </c>
      <c r="B234" s="26"/>
      <c r="C234" s="26"/>
      <c r="D234" s="26"/>
      <c r="E234" s="26"/>
      <c r="F234" s="26"/>
      <c r="G234" s="26"/>
      <c r="H234" s="26"/>
      <c r="I234" s="26"/>
      <c r="J234" s="26"/>
    </row>
    <row r="235" ht="15" customHeight="1">
      <c r="A235" s="27">
        <v>229</v>
      </c>
      <c r="B235" s="27"/>
      <c r="C235" s="27"/>
      <c r="D235" s="27"/>
      <c r="E235" s="27"/>
      <c r="F235" s="27"/>
      <c r="G235" s="27"/>
      <c r="H235" s="27"/>
      <c r="I235" s="27"/>
      <c r="J235" s="27"/>
    </row>
    <row r="236" ht="15" customHeight="1">
      <c r="A236" s="26">
        <v>230</v>
      </c>
      <c r="B236" s="26"/>
      <c r="C236" s="26"/>
      <c r="D236" s="26"/>
      <c r="E236" s="26"/>
      <c r="F236" s="26"/>
      <c r="G236" s="26"/>
      <c r="H236" s="26"/>
      <c r="I236" s="26"/>
      <c r="J236" s="26"/>
    </row>
    <row r="237" ht="15" customHeight="1">
      <c r="A237" s="27">
        <v>231</v>
      </c>
      <c r="B237" s="27"/>
      <c r="C237" s="27"/>
      <c r="D237" s="27"/>
      <c r="E237" s="27"/>
      <c r="F237" s="27"/>
      <c r="G237" s="27"/>
      <c r="H237" s="27"/>
      <c r="I237" s="27"/>
      <c r="J237" s="27"/>
    </row>
    <row r="238" ht="15" customHeight="1">
      <c r="A238" s="26">
        <v>232</v>
      </c>
      <c r="B238" s="26"/>
      <c r="C238" s="26"/>
      <c r="D238" s="26"/>
      <c r="E238" s="26"/>
      <c r="F238" s="26"/>
      <c r="G238" s="26"/>
      <c r="H238" s="26"/>
      <c r="I238" s="26"/>
      <c r="J238" s="26"/>
    </row>
    <row r="239" ht="15" customHeight="1">
      <c r="A239" s="27">
        <v>233</v>
      </c>
      <c r="B239" s="27"/>
      <c r="C239" s="27"/>
      <c r="D239" s="27"/>
      <c r="E239" s="27"/>
      <c r="F239" s="27"/>
      <c r="G239" s="27"/>
      <c r="H239" s="27"/>
      <c r="I239" s="27"/>
      <c r="J239" s="27"/>
    </row>
    <row r="240" ht="15" customHeight="1">
      <c r="A240" s="26">
        <v>234</v>
      </c>
      <c r="B240" s="26"/>
      <c r="C240" s="26"/>
      <c r="D240" s="26"/>
      <c r="E240" s="26"/>
      <c r="F240" s="26"/>
      <c r="G240" s="26"/>
      <c r="H240" s="26"/>
      <c r="I240" s="26"/>
      <c r="J240" s="26"/>
    </row>
    <row r="241" ht="15" customHeight="1">
      <c r="A241" s="27">
        <v>235</v>
      </c>
      <c r="B241" s="27"/>
      <c r="C241" s="27"/>
      <c r="D241" s="27"/>
      <c r="E241" s="27"/>
      <c r="F241" s="27"/>
      <c r="G241" s="27"/>
      <c r="H241" s="27"/>
      <c r="I241" s="27"/>
      <c r="J241" s="27"/>
    </row>
    <row r="242" ht="15" customHeight="1">
      <c r="A242" s="26">
        <v>236</v>
      </c>
      <c r="B242" s="26"/>
      <c r="C242" s="26"/>
      <c r="D242" s="26"/>
      <c r="E242" s="26"/>
      <c r="F242" s="26"/>
      <c r="G242" s="26"/>
      <c r="H242" s="26"/>
      <c r="I242" s="26"/>
      <c r="J242" s="26"/>
    </row>
    <row r="243" ht="15" customHeight="1">
      <c r="A243" s="27">
        <v>237</v>
      </c>
      <c r="B243" s="27"/>
      <c r="C243" s="27"/>
      <c r="D243" s="27"/>
      <c r="E243" s="27"/>
      <c r="F243" s="27"/>
      <c r="G243" s="27"/>
      <c r="H243" s="27"/>
      <c r="I243" s="27"/>
      <c r="J243" s="27"/>
    </row>
    <row r="244" ht="15" customHeight="1">
      <c r="A244" s="26">
        <v>238</v>
      </c>
      <c r="B244" s="26"/>
      <c r="C244" s="26"/>
      <c r="D244" s="26"/>
      <c r="E244" s="26"/>
      <c r="F244" s="26"/>
      <c r="G244" s="26"/>
      <c r="H244" s="26"/>
      <c r="I244" s="26"/>
      <c r="J244" s="26"/>
    </row>
    <row r="245" ht="15" customHeight="1">
      <c r="A245" s="27">
        <v>239</v>
      </c>
      <c r="B245" s="27"/>
      <c r="C245" s="27"/>
      <c r="D245" s="27"/>
      <c r="E245" s="27"/>
      <c r="F245" s="27"/>
      <c r="G245" s="27"/>
      <c r="H245" s="27"/>
      <c r="I245" s="27"/>
      <c r="J245" s="27"/>
    </row>
    <row r="246" ht="15" customHeight="1">
      <c r="A246" s="26">
        <v>240</v>
      </c>
      <c r="B246" s="26"/>
      <c r="C246" s="26"/>
      <c r="D246" s="26"/>
      <c r="E246" s="26"/>
      <c r="F246" s="26"/>
      <c r="G246" s="26"/>
      <c r="H246" s="26"/>
      <c r="I246" s="26"/>
      <c r="J246" s="26"/>
    </row>
    <row r="247" ht="15" customHeight="1">
      <c r="A247" s="27">
        <v>241</v>
      </c>
      <c r="B247" s="27"/>
      <c r="C247" s="27"/>
      <c r="D247" s="27"/>
      <c r="E247" s="27"/>
      <c r="F247" s="27"/>
      <c r="G247" s="27"/>
      <c r="H247" s="27"/>
      <c r="I247" s="27"/>
      <c r="J247" s="27"/>
    </row>
    <row r="248" ht="15" customHeight="1">
      <c r="A248" s="26">
        <v>242</v>
      </c>
      <c r="B248" s="26"/>
      <c r="C248" s="26"/>
      <c r="D248" s="26"/>
      <c r="E248" s="26"/>
      <c r="F248" s="26"/>
      <c r="G248" s="26"/>
      <c r="H248" s="26"/>
      <c r="I248" s="26"/>
      <c r="J248" s="26"/>
    </row>
    <row r="249" ht="15" customHeight="1">
      <c r="A249" s="27">
        <v>243</v>
      </c>
      <c r="B249" s="27"/>
      <c r="C249" s="27"/>
      <c r="D249" s="27"/>
      <c r="E249" s="27"/>
      <c r="F249" s="27"/>
      <c r="G249" s="27"/>
      <c r="H249" s="27"/>
      <c r="I249" s="27"/>
      <c r="J249" s="27"/>
    </row>
    <row r="250" ht="15" customHeight="1">
      <c r="A250" s="26">
        <v>244</v>
      </c>
      <c r="B250" s="26"/>
      <c r="C250" s="26"/>
      <c r="D250" s="26"/>
      <c r="E250" s="26"/>
      <c r="F250" s="26"/>
      <c r="G250" s="26"/>
      <c r="H250" s="26"/>
      <c r="I250" s="26"/>
      <c r="J250" s="26"/>
    </row>
    <row r="251" ht="15" customHeight="1">
      <c r="A251" s="27">
        <v>245</v>
      </c>
      <c r="B251" s="27"/>
      <c r="C251" s="27"/>
      <c r="D251" s="27"/>
      <c r="E251" s="27"/>
      <c r="F251" s="27"/>
      <c r="G251" s="27"/>
      <c r="H251" s="27"/>
      <c r="I251" s="27"/>
      <c r="J251" s="27"/>
    </row>
    <row r="252" ht="15" customHeight="1">
      <c r="A252" s="26">
        <v>246</v>
      </c>
      <c r="B252" s="26"/>
      <c r="C252" s="26"/>
      <c r="D252" s="26"/>
      <c r="E252" s="26"/>
      <c r="F252" s="26"/>
      <c r="G252" s="26"/>
      <c r="H252" s="26"/>
      <c r="I252" s="26"/>
      <c r="J252" s="26"/>
    </row>
    <row r="253" ht="15" customHeight="1">
      <c r="A253" s="27">
        <v>247</v>
      </c>
      <c r="B253" s="27"/>
      <c r="C253" s="27"/>
      <c r="D253" s="27"/>
      <c r="E253" s="27"/>
      <c r="F253" s="27"/>
      <c r="G253" s="27"/>
      <c r="H253" s="27"/>
      <c r="I253" s="27"/>
      <c r="J253" s="27"/>
    </row>
    <row r="254" ht="15" customHeight="1">
      <c r="A254" s="26">
        <v>248</v>
      </c>
      <c r="B254" s="26"/>
      <c r="C254" s="26"/>
      <c r="D254" s="26"/>
      <c r="E254" s="26"/>
      <c r="F254" s="26"/>
      <c r="G254" s="26"/>
      <c r="H254" s="26"/>
      <c r="I254" s="26"/>
      <c r="J254" s="26"/>
    </row>
    <row r="255" ht="15" customHeight="1">
      <c r="A255" s="27">
        <v>249</v>
      </c>
      <c r="B255" s="27"/>
      <c r="C255" s="27"/>
      <c r="D255" s="27"/>
      <c r="E255" s="27"/>
      <c r="F255" s="27"/>
      <c r="G255" s="27"/>
      <c r="H255" s="27"/>
      <c r="I255" s="27"/>
      <c r="J255" s="27"/>
    </row>
    <row r="256" ht="15" customHeight="1">
      <c r="A256" s="26">
        <v>250</v>
      </c>
      <c r="B256" s="26"/>
      <c r="C256" s="26"/>
      <c r="D256" s="26"/>
      <c r="E256" s="26"/>
      <c r="F256" s="26"/>
      <c r="G256" s="26"/>
      <c r="H256" s="26"/>
      <c r="I256" s="26"/>
      <c r="J256" s="26"/>
    </row>
    <row r="257" ht="15" customHeight="1">
      <c r="A257" s="27">
        <v>251</v>
      </c>
      <c r="B257" s="27"/>
      <c r="C257" s="27"/>
      <c r="D257" s="27"/>
      <c r="E257" s="27"/>
      <c r="F257" s="27"/>
      <c r="G257" s="27"/>
      <c r="H257" s="27"/>
      <c r="I257" s="27"/>
      <c r="J257" s="27"/>
    </row>
    <row r="258" ht="15" customHeight="1">
      <c r="A258" s="26">
        <v>252</v>
      </c>
      <c r="B258" s="26"/>
      <c r="C258" s="26"/>
      <c r="D258" s="26"/>
      <c r="E258" s="26"/>
      <c r="F258" s="26"/>
      <c r="G258" s="26"/>
      <c r="H258" s="26"/>
      <c r="I258" s="26"/>
      <c r="J258" s="26"/>
    </row>
    <row r="259" ht="15" customHeight="1">
      <c r="A259" s="27">
        <v>253</v>
      </c>
      <c r="B259" s="27"/>
      <c r="C259" s="27"/>
      <c r="D259" s="27"/>
      <c r="E259" s="27"/>
      <c r="F259" s="27"/>
      <c r="G259" s="27"/>
      <c r="H259" s="27"/>
      <c r="I259" s="27"/>
      <c r="J259" s="27"/>
    </row>
    <row r="260" ht="15" customHeight="1">
      <c r="A260" s="26">
        <v>254</v>
      </c>
      <c r="B260" s="26"/>
      <c r="C260" s="26"/>
      <c r="D260" s="26"/>
      <c r="E260" s="26"/>
      <c r="F260" s="26"/>
      <c r="G260" s="26"/>
      <c r="H260" s="26"/>
      <c r="I260" s="26"/>
      <c r="J260" s="26"/>
    </row>
    <row r="261" ht="15" customHeight="1">
      <c r="A261" s="27">
        <v>255</v>
      </c>
      <c r="B261" s="27"/>
      <c r="C261" s="27"/>
      <c r="D261" s="27"/>
      <c r="E261" s="27"/>
      <c r="F261" s="27"/>
      <c r="G261" s="27"/>
      <c r="H261" s="27"/>
      <c r="I261" s="27"/>
      <c r="J261" s="27"/>
    </row>
    <row r="262" ht="15" customHeight="1">
      <c r="A262" s="26">
        <v>256</v>
      </c>
      <c r="B262" s="26"/>
      <c r="C262" s="26"/>
      <c r="D262" s="26"/>
      <c r="E262" s="26"/>
      <c r="F262" s="26"/>
      <c r="G262" s="26"/>
      <c r="H262" s="26"/>
      <c r="I262" s="26"/>
      <c r="J262" s="26"/>
    </row>
    <row r="263" ht="15" customHeight="1">
      <c r="A263" s="27">
        <v>257</v>
      </c>
      <c r="B263" s="27"/>
      <c r="C263" s="27"/>
      <c r="D263" s="27"/>
      <c r="E263" s="27"/>
      <c r="F263" s="27"/>
      <c r="G263" s="27"/>
      <c r="H263" s="27"/>
      <c r="I263" s="27"/>
      <c r="J263" s="27"/>
    </row>
    <row r="264" ht="15" customHeight="1">
      <c r="A264" s="26">
        <v>258</v>
      </c>
      <c r="B264" s="26"/>
      <c r="C264" s="26"/>
      <c r="D264" s="26"/>
      <c r="E264" s="26"/>
      <c r="F264" s="26"/>
      <c r="G264" s="26"/>
      <c r="H264" s="26"/>
      <c r="I264" s="26"/>
      <c r="J264" s="26"/>
    </row>
    <row r="265" ht="15" customHeight="1">
      <c r="A265" s="27">
        <v>259</v>
      </c>
      <c r="B265" s="27"/>
      <c r="C265" s="27"/>
      <c r="D265" s="27"/>
      <c r="E265" s="27"/>
      <c r="F265" s="27"/>
      <c r="G265" s="27"/>
      <c r="H265" s="27"/>
      <c r="I265" s="27"/>
      <c r="J265" s="27"/>
    </row>
    <row r="266" ht="15" customHeight="1">
      <c r="A266" s="26">
        <v>260</v>
      </c>
      <c r="B266" s="26"/>
      <c r="C266" s="26"/>
      <c r="D266" s="26"/>
      <c r="E266" s="26"/>
      <c r="F266" s="26"/>
      <c r="G266" s="26"/>
      <c r="H266" s="26"/>
      <c r="I266" s="26"/>
      <c r="J266" s="26"/>
    </row>
    <row r="267" ht="15" customHeight="1">
      <c r="A267" s="27">
        <v>261</v>
      </c>
      <c r="B267" s="27"/>
      <c r="C267" s="27"/>
      <c r="D267" s="27"/>
      <c r="E267" s="27"/>
      <c r="F267" s="27"/>
      <c r="G267" s="27"/>
      <c r="H267" s="27"/>
      <c r="I267" s="27"/>
      <c r="J267" s="27"/>
    </row>
    <row r="268" ht="15" customHeight="1">
      <c r="A268" s="26">
        <v>262</v>
      </c>
      <c r="B268" s="26"/>
      <c r="C268" s="26"/>
      <c r="D268" s="26"/>
      <c r="E268" s="26"/>
      <c r="F268" s="26"/>
      <c r="G268" s="26"/>
      <c r="H268" s="26"/>
      <c r="I268" s="26"/>
      <c r="J268" s="26"/>
    </row>
    <row r="269" ht="15" customHeight="1">
      <c r="A269" s="27">
        <v>263</v>
      </c>
      <c r="B269" s="27"/>
      <c r="C269" s="27"/>
      <c r="D269" s="27"/>
      <c r="E269" s="27"/>
      <c r="F269" s="27"/>
      <c r="G269" s="27"/>
      <c r="H269" s="27"/>
      <c r="I269" s="27"/>
      <c r="J269" s="27"/>
    </row>
    <row r="270" ht="15" customHeight="1">
      <c r="A270" s="26">
        <v>264</v>
      </c>
      <c r="B270" s="26"/>
      <c r="C270" s="26"/>
      <c r="D270" s="26"/>
      <c r="E270" s="26"/>
      <c r="F270" s="26"/>
      <c r="G270" s="26"/>
      <c r="H270" s="26"/>
      <c r="I270" s="26"/>
      <c r="J270" s="26"/>
    </row>
    <row r="271" ht="15" customHeight="1">
      <c r="A271" s="27">
        <v>265</v>
      </c>
      <c r="B271" s="27"/>
      <c r="C271" s="27"/>
      <c r="D271" s="27"/>
      <c r="E271" s="27"/>
      <c r="F271" s="27"/>
      <c r="G271" s="27"/>
      <c r="H271" s="27"/>
      <c r="I271" s="27"/>
      <c r="J271" s="27"/>
    </row>
    <row r="272" ht="15" customHeight="1">
      <c r="A272" s="26">
        <v>266</v>
      </c>
      <c r="B272" s="26"/>
      <c r="C272" s="26"/>
      <c r="D272" s="26"/>
      <c r="E272" s="26"/>
      <c r="F272" s="26"/>
      <c r="G272" s="26"/>
      <c r="H272" s="26"/>
      <c r="I272" s="26"/>
      <c r="J272" s="26"/>
    </row>
    <row r="273" ht="15" customHeight="1">
      <c r="A273" s="27">
        <v>267</v>
      </c>
      <c r="B273" s="27"/>
      <c r="C273" s="27"/>
      <c r="D273" s="27"/>
      <c r="E273" s="27"/>
      <c r="F273" s="27"/>
      <c r="G273" s="27"/>
      <c r="H273" s="27"/>
      <c r="I273" s="27"/>
      <c r="J273" s="27"/>
    </row>
    <row r="274" ht="15" customHeight="1">
      <c r="A274" s="26">
        <v>268</v>
      </c>
      <c r="B274" s="26"/>
      <c r="C274" s="26"/>
      <c r="D274" s="26"/>
      <c r="E274" s="26"/>
      <c r="F274" s="26"/>
      <c r="G274" s="26"/>
      <c r="H274" s="26"/>
      <c r="I274" s="26"/>
      <c r="J274" s="26"/>
    </row>
    <row r="275" ht="15" customHeight="1">
      <c r="A275" s="27">
        <v>269</v>
      </c>
      <c r="B275" s="27"/>
      <c r="C275" s="27"/>
      <c r="D275" s="27"/>
      <c r="E275" s="27"/>
      <c r="F275" s="27"/>
      <c r="G275" s="27"/>
      <c r="H275" s="27"/>
      <c r="I275" s="27"/>
      <c r="J275" s="27"/>
    </row>
    <row r="276" ht="15" customHeight="1">
      <c r="A276" s="26">
        <v>270</v>
      </c>
      <c r="B276" s="26"/>
      <c r="C276" s="26"/>
      <c r="D276" s="26"/>
      <c r="E276" s="26"/>
      <c r="F276" s="26"/>
      <c r="G276" s="26"/>
      <c r="H276" s="26"/>
      <c r="I276" s="26"/>
      <c r="J276" s="26"/>
    </row>
    <row r="277" ht="15" customHeight="1">
      <c r="A277" s="27">
        <v>271</v>
      </c>
      <c r="B277" s="27"/>
      <c r="C277" s="27"/>
      <c r="D277" s="27"/>
      <c r="E277" s="27"/>
      <c r="F277" s="27"/>
      <c r="G277" s="27"/>
      <c r="H277" s="27"/>
      <c r="I277" s="27"/>
      <c r="J277" s="27"/>
    </row>
    <row r="278" ht="15" customHeight="1">
      <c r="A278" s="26">
        <v>272</v>
      </c>
      <c r="B278" s="26"/>
      <c r="C278" s="26"/>
      <c r="D278" s="26"/>
      <c r="E278" s="26"/>
      <c r="F278" s="26"/>
      <c r="G278" s="26"/>
      <c r="H278" s="26"/>
      <c r="I278" s="26"/>
      <c r="J278" s="26"/>
    </row>
    <row r="279" ht="15" customHeight="1">
      <c r="A279" s="27">
        <v>273</v>
      </c>
      <c r="B279" s="27"/>
      <c r="C279" s="27"/>
      <c r="D279" s="27"/>
      <c r="E279" s="27"/>
      <c r="F279" s="27"/>
      <c r="G279" s="27"/>
      <c r="H279" s="27"/>
      <c r="I279" s="27"/>
      <c r="J279" s="27"/>
    </row>
    <row r="280" ht="15" customHeight="1">
      <c r="A280" s="26">
        <v>274</v>
      </c>
      <c r="B280" s="26"/>
      <c r="C280" s="26"/>
      <c r="D280" s="26"/>
      <c r="E280" s="26"/>
      <c r="F280" s="26"/>
      <c r="G280" s="26"/>
      <c r="H280" s="26"/>
      <c r="I280" s="26"/>
      <c r="J280" s="26"/>
    </row>
    <row r="281" ht="15" customHeight="1">
      <c r="A281" s="27">
        <v>275</v>
      </c>
      <c r="B281" s="27"/>
      <c r="C281" s="27"/>
      <c r="D281" s="27"/>
      <c r="E281" s="27"/>
      <c r="F281" s="27"/>
      <c r="G281" s="27"/>
      <c r="H281" s="27"/>
      <c r="I281" s="27"/>
      <c r="J281" s="27"/>
    </row>
    <row r="282" ht="15" customHeight="1">
      <c r="A282" s="26">
        <v>276</v>
      </c>
      <c r="B282" s="26"/>
      <c r="C282" s="26"/>
      <c r="D282" s="26"/>
      <c r="E282" s="26"/>
      <c r="F282" s="26"/>
      <c r="G282" s="26"/>
      <c r="H282" s="26"/>
      <c r="I282" s="26"/>
      <c r="J282" s="26"/>
    </row>
    <row r="283" ht="15" customHeight="1">
      <c r="A283" s="27">
        <v>277</v>
      </c>
      <c r="B283" s="27"/>
      <c r="C283" s="27"/>
      <c r="D283" s="27"/>
      <c r="E283" s="27"/>
      <c r="F283" s="27"/>
      <c r="G283" s="27"/>
      <c r="H283" s="27"/>
      <c r="I283" s="27"/>
      <c r="J283" s="27"/>
    </row>
    <row r="284" ht="15" customHeight="1">
      <c r="A284" s="26">
        <v>278</v>
      </c>
      <c r="B284" s="26"/>
      <c r="C284" s="26"/>
      <c r="D284" s="26"/>
      <c r="E284" s="26"/>
      <c r="F284" s="26"/>
      <c r="G284" s="26"/>
      <c r="H284" s="26"/>
      <c r="I284" s="26"/>
      <c r="J284" s="26"/>
    </row>
    <row r="285" ht="15" customHeight="1">
      <c r="A285" s="27">
        <v>279</v>
      </c>
      <c r="B285" s="27"/>
      <c r="C285" s="27"/>
      <c r="D285" s="27"/>
      <c r="E285" s="27"/>
      <c r="F285" s="27"/>
      <c r="G285" s="27"/>
      <c r="H285" s="27"/>
      <c r="I285" s="27"/>
      <c r="J285" s="27"/>
    </row>
    <row r="286" ht="15" customHeight="1">
      <c r="A286" s="26">
        <v>280</v>
      </c>
      <c r="B286" s="26"/>
      <c r="C286" s="26"/>
      <c r="D286" s="26"/>
      <c r="E286" s="26"/>
      <c r="F286" s="26"/>
      <c r="G286" s="26"/>
      <c r="H286" s="26"/>
      <c r="I286" s="26"/>
      <c r="J286" s="26"/>
    </row>
    <row r="287" ht="15" customHeight="1">
      <c r="A287" s="27">
        <v>281</v>
      </c>
      <c r="B287" s="27"/>
      <c r="C287" s="27"/>
      <c r="D287" s="27"/>
      <c r="E287" s="27"/>
      <c r="F287" s="27"/>
      <c r="G287" s="27"/>
      <c r="H287" s="27"/>
      <c r="I287" s="27"/>
      <c r="J287" s="27"/>
    </row>
    <row r="288" ht="15" customHeight="1">
      <c r="A288" s="26">
        <v>282</v>
      </c>
      <c r="B288" s="26"/>
      <c r="C288" s="26"/>
      <c r="D288" s="26"/>
      <c r="E288" s="26"/>
      <c r="F288" s="26"/>
      <c r="G288" s="26"/>
      <c r="H288" s="26"/>
      <c r="I288" s="26"/>
      <c r="J288" s="26"/>
    </row>
    <row r="289" ht="15" customHeight="1">
      <c r="A289" s="27">
        <v>283</v>
      </c>
      <c r="B289" s="27"/>
      <c r="C289" s="27"/>
      <c r="D289" s="27"/>
      <c r="E289" s="27"/>
      <c r="F289" s="27"/>
      <c r="G289" s="27"/>
      <c r="H289" s="27"/>
      <c r="I289" s="27"/>
      <c r="J289" s="27"/>
    </row>
    <row r="290" ht="15" customHeight="1">
      <c r="A290" s="26">
        <v>284</v>
      </c>
      <c r="B290" s="26"/>
      <c r="C290" s="26"/>
      <c r="D290" s="26"/>
      <c r="E290" s="26"/>
      <c r="F290" s="26"/>
      <c r="G290" s="26"/>
      <c r="H290" s="26"/>
      <c r="I290" s="26"/>
      <c r="J290" s="26"/>
    </row>
    <row r="291" ht="15" customHeight="1">
      <c r="A291" s="27">
        <v>285</v>
      </c>
      <c r="B291" s="27"/>
      <c r="C291" s="27"/>
      <c r="D291" s="27"/>
      <c r="E291" s="27"/>
      <c r="F291" s="27"/>
      <c r="G291" s="27"/>
      <c r="H291" s="27"/>
      <c r="I291" s="27"/>
      <c r="J291" s="27"/>
    </row>
    <row r="292" ht="15" customHeight="1">
      <c r="A292" s="26">
        <v>286</v>
      </c>
      <c r="B292" s="26"/>
      <c r="C292" s="26"/>
      <c r="D292" s="26"/>
      <c r="E292" s="26"/>
      <c r="F292" s="26"/>
      <c r="G292" s="26"/>
      <c r="H292" s="26"/>
      <c r="I292" s="26"/>
      <c r="J292" s="26"/>
    </row>
    <row r="293" ht="15" customHeight="1">
      <c r="A293" s="27">
        <v>287</v>
      </c>
      <c r="B293" s="27"/>
      <c r="C293" s="27"/>
      <c r="D293" s="27"/>
      <c r="E293" s="27"/>
      <c r="F293" s="27"/>
      <c r="G293" s="27"/>
      <c r="H293" s="27"/>
      <c r="I293" s="27"/>
      <c r="J293" s="27"/>
    </row>
    <row r="294" ht="15" customHeight="1">
      <c r="A294" s="26">
        <v>288</v>
      </c>
      <c r="B294" s="26"/>
      <c r="C294" s="26"/>
      <c r="D294" s="26"/>
      <c r="E294" s="26"/>
      <c r="F294" s="26"/>
      <c r="G294" s="26"/>
      <c r="H294" s="26"/>
      <c r="I294" s="26"/>
      <c r="J294" s="26"/>
    </row>
    <row r="295" ht="15" customHeight="1">
      <c r="A295" s="27">
        <v>289</v>
      </c>
      <c r="B295" s="27"/>
      <c r="C295" s="27"/>
      <c r="D295" s="27"/>
      <c r="E295" s="27"/>
      <c r="F295" s="27"/>
      <c r="G295" s="27"/>
      <c r="H295" s="27"/>
      <c r="I295" s="27"/>
      <c r="J295" s="27"/>
    </row>
    <row r="296" ht="15" customHeight="1">
      <c r="A296" s="26">
        <v>290</v>
      </c>
      <c r="B296" s="26"/>
      <c r="C296" s="26"/>
      <c r="D296" s="26"/>
      <c r="E296" s="26"/>
      <c r="F296" s="26"/>
      <c r="G296" s="26"/>
      <c r="H296" s="26"/>
      <c r="I296" s="26"/>
      <c r="J296" s="26"/>
    </row>
    <row r="297" ht="15" customHeight="1">
      <c r="A297" s="27">
        <v>291</v>
      </c>
      <c r="B297" s="27"/>
      <c r="C297" s="27"/>
      <c r="D297" s="27"/>
      <c r="E297" s="27"/>
      <c r="F297" s="27"/>
      <c r="G297" s="27"/>
      <c r="H297" s="27"/>
      <c r="I297" s="27"/>
      <c r="J297" s="27"/>
    </row>
    <row r="298" ht="15" customHeight="1">
      <c r="A298" s="26">
        <v>292</v>
      </c>
      <c r="B298" s="26"/>
      <c r="C298" s="26"/>
      <c r="D298" s="26"/>
      <c r="E298" s="26"/>
      <c r="F298" s="26"/>
      <c r="G298" s="26"/>
      <c r="H298" s="26"/>
      <c r="I298" s="26"/>
      <c r="J298" s="26"/>
    </row>
    <row r="299" ht="15" customHeight="1">
      <c r="A299" s="27">
        <v>293</v>
      </c>
      <c r="B299" s="27"/>
      <c r="C299" s="27"/>
      <c r="D299" s="27"/>
      <c r="E299" s="27"/>
      <c r="F299" s="27"/>
      <c r="G299" s="27"/>
      <c r="H299" s="27"/>
      <c r="I299" s="27"/>
      <c r="J299" s="27"/>
    </row>
    <row r="300" ht="15" customHeight="1">
      <c r="A300" s="26">
        <v>294</v>
      </c>
      <c r="B300" s="26"/>
      <c r="C300" s="26"/>
      <c r="D300" s="26"/>
      <c r="E300" s="26"/>
      <c r="F300" s="26"/>
      <c r="G300" s="26"/>
      <c r="H300" s="26"/>
      <c r="I300" s="26"/>
      <c r="J300" s="26"/>
    </row>
    <row r="301" ht="15" customHeight="1">
      <c r="A301" s="27">
        <v>295</v>
      </c>
      <c r="B301" s="27"/>
      <c r="C301" s="27"/>
      <c r="D301" s="27"/>
      <c r="E301" s="27"/>
      <c r="F301" s="27"/>
      <c r="G301" s="27"/>
      <c r="H301" s="27"/>
      <c r="I301" s="27"/>
      <c r="J301" s="27"/>
    </row>
    <row r="302" ht="15" customHeight="1">
      <c r="A302" s="26">
        <v>296</v>
      </c>
      <c r="B302" s="26"/>
      <c r="C302" s="26"/>
      <c r="D302" s="26"/>
      <c r="E302" s="26"/>
      <c r="F302" s="26"/>
      <c r="G302" s="26"/>
      <c r="H302" s="26"/>
      <c r="I302" s="26"/>
      <c r="J302" s="26"/>
    </row>
    <row r="303" ht="15" customHeight="1">
      <c r="A303" s="27">
        <v>297</v>
      </c>
      <c r="B303" s="27"/>
      <c r="C303" s="27"/>
      <c r="D303" s="27"/>
      <c r="E303" s="27"/>
      <c r="F303" s="27"/>
      <c r="G303" s="27"/>
      <c r="H303" s="27"/>
      <c r="I303" s="27"/>
      <c r="J303" s="27"/>
    </row>
    <row r="304" ht="15" customHeight="1">
      <c r="A304" s="26">
        <v>298</v>
      </c>
      <c r="B304" s="26"/>
      <c r="C304" s="26"/>
      <c r="D304" s="26"/>
      <c r="E304" s="26"/>
      <c r="F304" s="26"/>
      <c r="G304" s="26"/>
      <c r="H304" s="26"/>
      <c r="I304" s="26"/>
      <c r="J304" s="26"/>
    </row>
    <row r="305" ht="15" customHeight="1">
      <c r="A305" s="27">
        <v>299</v>
      </c>
      <c r="B305" s="27"/>
      <c r="C305" s="27"/>
      <c r="D305" s="27"/>
      <c r="E305" s="27"/>
      <c r="F305" s="27"/>
      <c r="G305" s="27"/>
      <c r="H305" s="27"/>
      <c r="I305" s="27"/>
      <c r="J305" s="27"/>
    </row>
    <row r="306" ht="15" customHeight="1">
      <c r="A306" s="26">
        <v>300</v>
      </c>
      <c r="B306" s="26"/>
      <c r="C306" s="26"/>
      <c r="D306" s="26"/>
      <c r="E306" s="26"/>
      <c r="F306" s="26"/>
      <c r="G306" s="26"/>
      <c r="H306" s="26"/>
      <c r="I306" s="26"/>
      <c r="J306" s="26"/>
    </row>
    <row r="307" ht="15" customHeight="1">
      <c r="A307" s="27">
        <v>301</v>
      </c>
      <c r="B307" s="27"/>
      <c r="C307" s="27"/>
      <c r="D307" s="27"/>
      <c r="E307" s="27"/>
      <c r="F307" s="27"/>
      <c r="G307" s="27"/>
      <c r="H307" s="27"/>
      <c r="I307" s="27"/>
      <c r="J307" s="27"/>
    </row>
    <row r="308" ht="15" customHeight="1">
      <c r="A308" s="26">
        <v>302</v>
      </c>
      <c r="B308" s="26"/>
      <c r="C308" s="26"/>
      <c r="D308" s="26"/>
      <c r="E308" s="26"/>
      <c r="F308" s="26"/>
      <c r="G308" s="26"/>
      <c r="H308" s="26"/>
      <c r="I308" s="26"/>
      <c r="J308" s="26"/>
    </row>
    <row r="309" ht="15" customHeight="1">
      <c r="A309" s="27">
        <v>303</v>
      </c>
      <c r="B309" s="27"/>
      <c r="C309" s="27"/>
      <c r="D309" s="27"/>
      <c r="E309" s="27"/>
      <c r="F309" s="27"/>
      <c r="G309" s="27"/>
      <c r="H309" s="27"/>
      <c r="I309" s="27"/>
      <c r="J309" s="27"/>
    </row>
    <row r="310" ht="15" customHeight="1">
      <c r="A310" s="26">
        <v>304</v>
      </c>
      <c r="B310" s="26"/>
      <c r="C310" s="26"/>
      <c r="D310" s="26"/>
      <c r="E310" s="26"/>
      <c r="F310" s="26"/>
      <c r="G310" s="26"/>
      <c r="H310" s="26"/>
      <c r="I310" s="26"/>
      <c r="J310" s="26"/>
    </row>
    <row r="311" ht="15" customHeight="1">
      <c r="A311" s="27">
        <v>305</v>
      </c>
      <c r="B311" s="27"/>
      <c r="C311" s="27"/>
      <c r="D311" s="27"/>
      <c r="E311" s="27"/>
      <c r="F311" s="27"/>
      <c r="G311" s="27"/>
      <c r="H311" s="27"/>
      <c r="I311" s="27"/>
      <c r="J311" s="27"/>
    </row>
    <row r="312" ht="15" customHeight="1">
      <c r="A312" s="26">
        <v>306</v>
      </c>
      <c r="B312" s="26"/>
      <c r="C312" s="26"/>
      <c r="D312" s="26"/>
      <c r="E312" s="26"/>
      <c r="F312" s="26"/>
      <c r="G312" s="26"/>
      <c r="H312" s="26"/>
      <c r="I312" s="26"/>
      <c r="J312" s="26"/>
    </row>
    <row r="313" ht="15" customHeight="1">
      <c r="A313" s="27">
        <v>307</v>
      </c>
      <c r="B313" s="27"/>
      <c r="C313" s="27"/>
      <c r="D313" s="27"/>
      <c r="E313" s="27"/>
      <c r="F313" s="27"/>
      <c r="G313" s="27"/>
      <c r="H313" s="27"/>
      <c r="I313" s="27"/>
      <c r="J313" s="27"/>
    </row>
    <row r="314" ht="15" customHeight="1">
      <c r="A314" s="26">
        <v>308</v>
      </c>
      <c r="B314" s="26"/>
      <c r="C314" s="26"/>
      <c r="D314" s="26"/>
      <c r="E314" s="26"/>
      <c r="F314" s="26"/>
      <c r="G314" s="26"/>
      <c r="H314" s="26"/>
      <c r="I314" s="26"/>
      <c r="J314" s="26"/>
    </row>
    <row r="315" ht="15" customHeight="1">
      <c r="A315" s="27">
        <v>309</v>
      </c>
      <c r="B315" s="27"/>
      <c r="C315" s="27"/>
      <c r="D315" s="27"/>
      <c r="E315" s="27"/>
      <c r="F315" s="27"/>
      <c r="G315" s="27"/>
      <c r="H315" s="27"/>
      <c r="I315" s="27"/>
      <c r="J315" s="27"/>
    </row>
    <row r="316" ht="15" customHeight="1">
      <c r="A316" s="26">
        <v>310</v>
      </c>
      <c r="B316" s="26"/>
      <c r="C316" s="26"/>
      <c r="D316" s="26"/>
      <c r="E316" s="26"/>
      <c r="F316" s="26"/>
      <c r="G316" s="26"/>
      <c r="H316" s="26"/>
      <c r="I316" s="26"/>
      <c r="J316" s="26"/>
    </row>
    <row r="317" ht="15" customHeight="1">
      <c r="A317" s="27">
        <v>311</v>
      </c>
      <c r="B317" s="27"/>
      <c r="C317" s="27"/>
      <c r="D317" s="27"/>
      <c r="E317" s="27"/>
      <c r="F317" s="27"/>
      <c r="G317" s="27"/>
      <c r="H317" s="27"/>
      <c r="I317" s="27"/>
      <c r="J317" s="27"/>
    </row>
    <row r="318" ht="15" customHeight="1">
      <c r="A318" s="26">
        <v>312</v>
      </c>
      <c r="B318" s="26"/>
      <c r="C318" s="26"/>
      <c r="D318" s="26"/>
      <c r="E318" s="26"/>
      <c r="F318" s="26"/>
      <c r="G318" s="26"/>
      <c r="H318" s="26"/>
      <c r="I318" s="26"/>
      <c r="J318" s="26"/>
    </row>
    <row r="319" ht="15" customHeight="1">
      <c r="A319" s="27">
        <v>313</v>
      </c>
      <c r="B319" s="27"/>
      <c r="C319" s="27"/>
      <c r="D319" s="27"/>
      <c r="E319" s="27"/>
      <c r="F319" s="27"/>
      <c r="G319" s="27"/>
      <c r="H319" s="27"/>
      <c r="I319" s="27"/>
      <c r="J319" s="27"/>
    </row>
    <row r="320" ht="15" customHeight="1">
      <c r="A320" s="26">
        <v>314</v>
      </c>
      <c r="B320" s="26"/>
      <c r="C320" s="26"/>
      <c r="D320" s="26"/>
      <c r="E320" s="26"/>
      <c r="F320" s="26"/>
      <c r="G320" s="26"/>
      <c r="H320" s="26"/>
      <c r="I320" s="26"/>
      <c r="J320" s="26"/>
    </row>
    <row r="321" ht="15" customHeight="1">
      <c r="A321" s="27">
        <v>315</v>
      </c>
      <c r="B321" s="27"/>
      <c r="C321" s="27"/>
      <c r="D321" s="27"/>
      <c r="E321" s="27"/>
      <c r="F321" s="27"/>
      <c r="G321" s="27"/>
      <c r="H321" s="27"/>
      <c r="I321" s="27"/>
      <c r="J321" s="27"/>
    </row>
    <row r="322" ht="15" customHeight="1">
      <c r="A322" s="26">
        <v>316</v>
      </c>
      <c r="B322" s="26"/>
      <c r="C322" s="26"/>
      <c r="D322" s="26"/>
      <c r="E322" s="26"/>
      <c r="F322" s="26"/>
      <c r="G322" s="26"/>
      <c r="H322" s="26"/>
      <c r="I322" s="26"/>
      <c r="J322" s="26"/>
    </row>
    <row r="323" ht="15" customHeight="1">
      <c r="A323" s="27">
        <v>317</v>
      </c>
      <c r="B323" s="27"/>
      <c r="C323" s="27"/>
      <c r="D323" s="27"/>
      <c r="E323" s="27"/>
      <c r="F323" s="27"/>
      <c r="G323" s="27"/>
      <c r="H323" s="27"/>
      <c r="I323" s="27"/>
      <c r="J323" s="27"/>
    </row>
    <row r="324" ht="15" customHeight="1">
      <c r="A324" s="26">
        <v>318</v>
      </c>
      <c r="B324" s="26"/>
      <c r="C324" s="26"/>
      <c r="D324" s="26"/>
      <c r="E324" s="26"/>
      <c r="F324" s="26"/>
      <c r="G324" s="26"/>
      <c r="H324" s="26"/>
      <c r="I324" s="26"/>
      <c r="J324" s="26"/>
    </row>
    <row r="325" ht="15" customHeight="1">
      <c r="A325" s="27">
        <v>319</v>
      </c>
      <c r="B325" s="27"/>
      <c r="C325" s="27"/>
      <c r="D325" s="27"/>
      <c r="E325" s="27"/>
      <c r="F325" s="27"/>
      <c r="G325" s="27"/>
      <c r="H325" s="27"/>
      <c r="I325" s="27"/>
      <c r="J325" s="27"/>
    </row>
    <row r="326" ht="15" customHeight="1">
      <c r="A326" s="26">
        <v>320</v>
      </c>
      <c r="B326" s="26"/>
      <c r="C326" s="26"/>
      <c r="D326" s="26"/>
      <c r="E326" s="26"/>
      <c r="F326" s="26"/>
      <c r="G326" s="26"/>
      <c r="H326" s="26"/>
      <c r="I326" s="26"/>
      <c r="J326" s="26"/>
    </row>
    <row r="327" ht="15" customHeight="1">
      <c r="A327" s="27">
        <v>321</v>
      </c>
      <c r="B327" s="27"/>
      <c r="C327" s="27"/>
      <c r="D327" s="27"/>
      <c r="E327" s="27"/>
      <c r="F327" s="27"/>
      <c r="G327" s="27"/>
      <c r="H327" s="27"/>
      <c r="I327" s="27"/>
      <c r="J327" s="27"/>
    </row>
    <row r="328" ht="15" customHeight="1">
      <c r="A328" s="26">
        <v>322</v>
      </c>
      <c r="B328" s="26"/>
      <c r="C328" s="26"/>
      <c r="D328" s="26"/>
      <c r="E328" s="26"/>
      <c r="F328" s="26"/>
      <c r="G328" s="26"/>
      <c r="H328" s="26"/>
      <c r="I328" s="26"/>
      <c r="J328" s="26"/>
    </row>
    <row r="329" ht="15" customHeight="1">
      <c r="A329" s="27">
        <v>323</v>
      </c>
      <c r="B329" s="27"/>
      <c r="C329" s="27"/>
      <c r="D329" s="27"/>
      <c r="E329" s="27"/>
      <c r="F329" s="27"/>
      <c r="G329" s="27"/>
      <c r="H329" s="27"/>
      <c r="I329" s="27"/>
      <c r="J329" s="27"/>
    </row>
    <row r="330" ht="15" customHeight="1">
      <c r="A330" s="26">
        <v>324</v>
      </c>
      <c r="B330" s="26"/>
      <c r="C330" s="26"/>
      <c r="D330" s="26"/>
      <c r="E330" s="26"/>
      <c r="F330" s="26"/>
      <c r="G330" s="26"/>
      <c r="H330" s="26"/>
      <c r="I330" s="26"/>
      <c r="J330" s="26"/>
    </row>
    <row r="331" ht="15" customHeight="1">
      <c r="A331" s="27">
        <v>325</v>
      </c>
      <c r="B331" s="27"/>
      <c r="C331" s="27"/>
      <c r="D331" s="27"/>
      <c r="E331" s="27"/>
      <c r="F331" s="27"/>
      <c r="G331" s="27"/>
      <c r="H331" s="27"/>
      <c r="I331" s="27"/>
      <c r="J331" s="27"/>
    </row>
    <row r="332" ht="15" customHeight="1">
      <c r="A332" s="26">
        <v>326</v>
      </c>
      <c r="B332" s="26"/>
      <c r="C332" s="26"/>
      <c r="D332" s="26"/>
      <c r="E332" s="26"/>
      <c r="F332" s="26"/>
      <c r="G332" s="26"/>
      <c r="H332" s="26"/>
      <c r="I332" s="26"/>
      <c r="J332" s="26"/>
    </row>
    <row r="333" ht="15" customHeight="1">
      <c r="A333" s="27">
        <v>327</v>
      </c>
      <c r="B333" s="27"/>
      <c r="C333" s="27"/>
      <c r="D333" s="27"/>
      <c r="E333" s="27"/>
      <c r="F333" s="27"/>
      <c r="G333" s="27"/>
      <c r="H333" s="27"/>
      <c r="I333" s="27"/>
      <c r="J333" s="27"/>
    </row>
    <row r="334" ht="15" customHeight="1">
      <c r="A334" s="26">
        <v>328</v>
      </c>
      <c r="B334" s="26"/>
      <c r="C334" s="26"/>
      <c r="D334" s="26"/>
      <c r="E334" s="26"/>
      <c r="F334" s="26"/>
      <c r="G334" s="26"/>
      <c r="H334" s="26"/>
      <c r="I334" s="26"/>
      <c r="J334" s="26"/>
    </row>
    <row r="335" ht="15" customHeight="1">
      <c r="A335" s="27">
        <v>329</v>
      </c>
      <c r="B335" s="27"/>
      <c r="C335" s="27"/>
      <c r="D335" s="27"/>
      <c r="E335" s="27"/>
      <c r="F335" s="27"/>
      <c r="G335" s="27"/>
      <c r="H335" s="27"/>
      <c r="I335" s="27"/>
      <c r="J335" s="27"/>
    </row>
    <row r="336" ht="15" customHeight="1">
      <c r="A336" s="26">
        <v>330</v>
      </c>
      <c r="B336" s="26"/>
      <c r="C336" s="26"/>
      <c r="D336" s="26"/>
      <c r="E336" s="26"/>
      <c r="F336" s="26"/>
      <c r="G336" s="26"/>
      <c r="H336" s="26"/>
      <c r="I336" s="26"/>
      <c r="J336" s="26"/>
    </row>
    <row r="337" ht="15" customHeight="1">
      <c r="A337" s="27">
        <v>331</v>
      </c>
      <c r="B337" s="27"/>
      <c r="C337" s="27"/>
      <c r="D337" s="27"/>
      <c r="E337" s="27"/>
      <c r="F337" s="27"/>
      <c r="G337" s="27"/>
      <c r="H337" s="27"/>
      <c r="I337" s="27"/>
      <c r="J337" s="27"/>
    </row>
    <row r="338" ht="15" customHeight="1">
      <c r="A338" s="26">
        <v>332</v>
      </c>
      <c r="B338" s="26"/>
      <c r="C338" s="26"/>
      <c r="D338" s="26"/>
      <c r="E338" s="26"/>
      <c r="F338" s="26"/>
      <c r="G338" s="26"/>
      <c r="H338" s="26"/>
      <c r="I338" s="26"/>
      <c r="J338" s="26"/>
    </row>
    <row r="339" ht="15" customHeight="1">
      <c r="A339" s="27">
        <v>333</v>
      </c>
      <c r="B339" s="27"/>
      <c r="C339" s="27"/>
      <c r="D339" s="27"/>
      <c r="E339" s="27"/>
      <c r="F339" s="27"/>
      <c r="G339" s="27"/>
      <c r="H339" s="27"/>
      <c r="I339" s="27"/>
      <c r="J339" s="27"/>
    </row>
    <row r="340" ht="15" customHeight="1">
      <c r="A340" s="26">
        <v>334</v>
      </c>
      <c r="B340" s="26"/>
      <c r="C340" s="26"/>
      <c r="D340" s="26"/>
      <c r="E340" s="26"/>
      <c r="F340" s="26"/>
      <c r="G340" s="26"/>
      <c r="H340" s="26"/>
      <c r="I340" s="26"/>
      <c r="J340" s="26"/>
    </row>
    <row r="341" ht="15" customHeight="1">
      <c r="A341" s="27">
        <v>335</v>
      </c>
      <c r="B341" s="27"/>
      <c r="C341" s="27"/>
      <c r="D341" s="27"/>
      <c r="E341" s="27"/>
      <c r="F341" s="27"/>
      <c r="G341" s="27"/>
      <c r="H341" s="27"/>
      <c r="I341" s="27"/>
      <c r="J341" s="27"/>
    </row>
    <row r="342" ht="15" customHeight="1">
      <c r="A342" s="26">
        <v>336</v>
      </c>
      <c r="B342" s="26"/>
      <c r="C342" s="26"/>
      <c r="D342" s="26"/>
      <c r="E342" s="26"/>
      <c r="F342" s="26"/>
      <c r="G342" s="26"/>
      <c r="H342" s="26"/>
      <c r="I342" s="26"/>
      <c r="J342" s="26"/>
    </row>
    <row r="343" ht="15" customHeight="1">
      <c r="A343" s="27">
        <v>337</v>
      </c>
      <c r="B343" s="27"/>
      <c r="C343" s="27"/>
      <c r="D343" s="27"/>
      <c r="E343" s="27"/>
      <c r="F343" s="27"/>
      <c r="G343" s="27"/>
      <c r="H343" s="27"/>
      <c r="I343" s="27"/>
      <c r="J343" s="27"/>
    </row>
    <row r="344" ht="15" customHeight="1">
      <c r="A344" s="26">
        <v>338</v>
      </c>
      <c r="B344" s="26"/>
      <c r="C344" s="26"/>
      <c r="D344" s="26"/>
      <c r="E344" s="26"/>
      <c r="F344" s="26"/>
      <c r="G344" s="26"/>
      <c r="H344" s="26"/>
      <c r="I344" s="26"/>
      <c r="J344" s="26"/>
    </row>
    <row r="345" ht="15" customHeight="1">
      <c r="A345" s="27">
        <v>339</v>
      </c>
      <c r="B345" s="27"/>
      <c r="C345" s="27"/>
      <c r="D345" s="27"/>
      <c r="E345" s="27"/>
      <c r="F345" s="27"/>
      <c r="G345" s="27"/>
      <c r="H345" s="27"/>
      <c r="I345" s="27"/>
      <c r="J345" s="27"/>
    </row>
    <row r="346" ht="15" customHeight="1">
      <c r="A346" s="26">
        <v>340</v>
      </c>
      <c r="B346" s="26"/>
      <c r="C346" s="26"/>
      <c r="D346" s="26"/>
      <c r="E346" s="26"/>
      <c r="F346" s="26"/>
      <c r="G346" s="26"/>
      <c r="H346" s="26"/>
      <c r="I346" s="26"/>
      <c r="J346" s="26"/>
    </row>
    <row r="347" ht="15" customHeight="1">
      <c r="A347" s="27">
        <v>341</v>
      </c>
      <c r="B347" s="27"/>
      <c r="C347" s="27"/>
      <c r="D347" s="27"/>
      <c r="E347" s="27"/>
      <c r="F347" s="27"/>
      <c r="G347" s="27"/>
      <c r="H347" s="27"/>
      <c r="I347" s="27"/>
      <c r="J347" s="27"/>
    </row>
    <row r="348" ht="15" customHeight="1">
      <c r="A348" s="26">
        <v>342</v>
      </c>
      <c r="B348" s="26"/>
      <c r="C348" s="26"/>
      <c r="D348" s="26"/>
      <c r="E348" s="26"/>
      <c r="F348" s="26"/>
      <c r="G348" s="26"/>
      <c r="H348" s="26"/>
      <c r="I348" s="26"/>
      <c r="J348" s="26"/>
    </row>
    <row r="349" ht="15" customHeight="1">
      <c r="A349" s="27">
        <v>343</v>
      </c>
      <c r="B349" s="27"/>
      <c r="C349" s="27"/>
      <c r="D349" s="27"/>
      <c r="E349" s="27"/>
      <c r="F349" s="27"/>
      <c r="G349" s="27"/>
      <c r="H349" s="27"/>
      <c r="I349" s="27"/>
      <c r="J349" s="27"/>
    </row>
    <row r="350" ht="15" customHeight="1">
      <c r="A350" s="26">
        <v>344</v>
      </c>
      <c r="B350" s="26"/>
      <c r="C350" s="26"/>
      <c r="D350" s="26"/>
      <c r="E350" s="26"/>
      <c r="F350" s="26"/>
      <c r="G350" s="26"/>
      <c r="H350" s="26"/>
      <c r="I350" s="26"/>
      <c r="J350" s="26"/>
    </row>
    <row r="351" ht="15" customHeight="1">
      <c r="A351" s="27">
        <v>345</v>
      </c>
      <c r="B351" s="27"/>
      <c r="C351" s="27"/>
      <c r="D351" s="27"/>
      <c r="E351" s="27"/>
      <c r="F351" s="27"/>
      <c r="G351" s="27"/>
      <c r="H351" s="27"/>
      <c r="I351" s="27"/>
      <c r="J351" s="27"/>
    </row>
    <row r="352" ht="15" customHeight="1">
      <c r="A352" s="26">
        <v>346</v>
      </c>
      <c r="B352" s="26"/>
      <c r="C352" s="26"/>
      <c r="D352" s="26"/>
      <c r="E352" s="26"/>
      <c r="F352" s="26"/>
      <c r="G352" s="26"/>
      <c r="H352" s="26"/>
      <c r="I352" s="26"/>
      <c r="J352" s="26"/>
    </row>
    <row r="353" ht="15" customHeight="1">
      <c r="A353" s="27">
        <v>347</v>
      </c>
      <c r="B353" s="27"/>
      <c r="C353" s="27"/>
      <c r="D353" s="27"/>
      <c r="E353" s="27"/>
      <c r="F353" s="27"/>
      <c r="G353" s="27"/>
      <c r="H353" s="27"/>
      <c r="I353" s="27"/>
      <c r="J353" s="27"/>
    </row>
    <row r="354" ht="15" customHeight="1">
      <c r="A354" s="26">
        <v>348</v>
      </c>
      <c r="B354" s="26"/>
      <c r="C354" s="26"/>
      <c r="D354" s="26"/>
      <c r="E354" s="26"/>
      <c r="F354" s="26"/>
      <c r="G354" s="26"/>
      <c r="H354" s="26"/>
      <c r="I354" s="26"/>
      <c r="J354" s="26"/>
    </row>
    <row r="355" ht="15" customHeight="1">
      <c r="A355" s="27">
        <v>349</v>
      </c>
      <c r="B355" s="27"/>
      <c r="C355" s="27"/>
      <c r="D355" s="27"/>
      <c r="E355" s="27"/>
      <c r="F355" s="27"/>
      <c r="G355" s="27"/>
      <c r="H355" s="27"/>
      <c r="I355" s="27"/>
      <c r="J355" s="27"/>
    </row>
    <row r="356" ht="15" customHeight="1">
      <c r="A356" s="26">
        <v>350</v>
      </c>
      <c r="B356" s="26"/>
      <c r="C356" s="26"/>
      <c r="D356" s="26"/>
      <c r="E356" s="26"/>
      <c r="F356" s="26"/>
      <c r="G356" s="26"/>
      <c r="H356" s="26"/>
      <c r="I356" s="26"/>
      <c r="J356" s="26"/>
    </row>
    <row r="357" ht="15" customHeight="1">
      <c r="A357" s="27">
        <v>351</v>
      </c>
      <c r="B357" s="27"/>
      <c r="C357" s="27"/>
      <c r="D357" s="27"/>
      <c r="E357" s="27"/>
      <c r="F357" s="27"/>
      <c r="G357" s="27"/>
      <c r="H357" s="27"/>
      <c r="I357" s="27"/>
      <c r="J357" s="27"/>
    </row>
    <row r="358" ht="15" customHeight="1">
      <c r="A358" s="26">
        <v>352</v>
      </c>
      <c r="B358" s="26"/>
      <c r="C358" s="26"/>
      <c r="D358" s="26"/>
      <c r="E358" s="26"/>
      <c r="F358" s="26"/>
      <c r="G358" s="26"/>
      <c r="H358" s="26"/>
      <c r="I358" s="26"/>
      <c r="J358" s="26"/>
    </row>
    <row r="359" ht="15" customHeight="1">
      <c r="A359" s="27">
        <v>353</v>
      </c>
      <c r="B359" s="27"/>
      <c r="C359" s="27"/>
      <c r="D359" s="27"/>
      <c r="E359" s="27"/>
      <c r="F359" s="27"/>
      <c r="G359" s="27"/>
      <c r="H359" s="27"/>
      <c r="I359" s="27"/>
      <c r="J359" s="27"/>
    </row>
    <row r="360" ht="15" customHeight="1">
      <c r="A360" s="26">
        <v>354</v>
      </c>
      <c r="B360" s="26"/>
      <c r="C360" s="26"/>
      <c r="D360" s="26"/>
      <c r="E360" s="26"/>
      <c r="F360" s="26"/>
      <c r="G360" s="26"/>
      <c r="H360" s="26"/>
      <c r="I360" s="26"/>
      <c r="J360" s="26"/>
    </row>
    <row r="361" ht="15" customHeight="1">
      <c r="A361" s="27">
        <v>355</v>
      </c>
      <c r="B361" s="27"/>
      <c r="C361" s="27"/>
      <c r="D361" s="27"/>
      <c r="E361" s="27"/>
      <c r="F361" s="27"/>
      <c r="G361" s="27"/>
      <c r="H361" s="27"/>
      <c r="I361" s="27"/>
      <c r="J361" s="27"/>
    </row>
    <row r="362" ht="15" customHeight="1">
      <c r="A362" s="26">
        <v>356</v>
      </c>
      <c r="B362" s="26"/>
      <c r="C362" s="26"/>
      <c r="D362" s="26"/>
      <c r="E362" s="26"/>
      <c r="F362" s="26"/>
      <c r="G362" s="26"/>
      <c r="H362" s="26"/>
      <c r="I362" s="26"/>
      <c r="J362" s="26"/>
    </row>
    <row r="363" ht="15" customHeight="1">
      <c r="A363" s="27">
        <v>357</v>
      </c>
      <c r="B363" s="27"/>
      <c r="C363" s="27"/>
      <c r="D363" s="27"/>
      <c r="E363" s="27"/>
      <c r="F363" s="27"/>
      <c r="G363" s="27"/>
      <c r="H363" s="27"/>
      <c r="I363" s="27"/>
      <c r="J363" s="27"/>
    </row>
    <row r="364" ht="15" customHeight="1">
      <c r="A364" s="26">
        <v>358</v>
      </c>
      <c r="B364" s="26"/>
      <c r="C364" s="26"/>
      <c r="D364" s="26"/>
      <c r="E364" s="26"/>
      <c r="F364" s="26"/>
      <c r="G364" s="26"/>
      <c r="H364" s="26"/>
      <c r="I364" s="26"/>
      <c r="J364" s="26"/>
    </row>
    <row r="365" ht="15" customHeight="1">
      <c r="A365" s="27">
        <v>359</v>
      </c>
      <c r="B365" s="27"/>
      <c r="C365" s="27"/>
      <c r="D365" s="27"/>
      <c r="E365" s="27"/>
      <c r="F365" s="27"/>
      <c r="G365" s="27"/>
      <c r="H365" s="27"/>
      <c r="I365" s="27"/>
      <c r="J365" s="27"/>
    </row>
    <row r="366" ht="15" customHeight="1">
      <c r="A366" s="26">
        <v>360</v>
      </c>
      <c r="B366" s="26"/>
      <c r="C366" s="26"/>
      <c r="D366" s="26"/>
      <c r="E366" s="26"/>
      <c r="F366" s="26"/>
      <c r="G366" s="26"/>
      <c r="H366" s="26"/>
      <c r="I366" s="26"/>
      <c r="J366" s="26"/>
    </row>
    <row r="367" ht="15" customHeight="1">
      <c r="A367" s="27">
        <v>361</v>
      </c>
      <c r="B367" s="27"/>
      <c r="C367" s="27"/>
      <c r="D367" s="27"/>
      <c r="E367" s="27"/>
      <c r="F367" s="27"/>
      <c r="G367" s="27"/>
      <c r="H367" s="27"/>
      <c r="I367" s="27"/>
      <c r="J367" s="27"/>
    </row>
    <row r="368" ht="15" customHeight="1">
      <c r="A368" s="26">
        <v>362</v>
      </c>
      <c r="B368" s="26"/>
      <c r="C368" s="26"/>
      <c r="D368" s="26"/>
      <c r="E368" s="26"/>
      <c r="F368" s="26"/>
      <c r="G368" s="26"/>
      <c r="H368" s="26"/>
      <c r="I368" s="26"/>
      <c r="J368" s="26"/>
    </row>
    <row r="369" ht="15" customHeight="1">
      <c r="A369" s="27">
        <v>363</v>
      </c>
      <c r="B369" s="27"/>
      <c r="C369" s="27"/>
      <c r="D369" s="27"/>
      <c r="E369" s="27"/>
      <c r="F369" s="27"/>
      <c r="G369" s="27"/>
      <c r="H369" s="27"/>
      <c r="I369" s="27"/>
      <c r="J369" s="27"/>
    </row>
    <row r="370" ht="15" customHeight="1">
      <c r="A370" s="26">
        <v>364</v>
      </c>
      <c r="B370" s="26"/>
      <c r="C370" s="26"/>
      <c r="D370" s="26"/>
      <c r="E370" s="26"/>
      <c r="F370" s="26"/>
      <c r="G370" s="26"/>
      <c r="H370" s="26"/>
      <c r="I370" s="26"/>
      <c r="J370" s="26"/>
    </row>
    <row r="371" ht="15" customHeight="1">
      <c r="A371" s="27">
        <v>365</v>
      </c>
      <c r="B371" s="27"/>
      <c r="C371" s="27"/>
      <c r="D371" s="27"/>
      <c r="E371" s="27"/>
      <c r="F371" s="27"/>
      <c r="G371" s="27"/>
      <c r="H371" s="27"/>
      <c r="I371" s="27"/>
      <c r="J371" s="27"/>
    </row>
    <row r="372" ht="15" customHeight="1">
      <c r="A372" s="26">
        <v>366</v>
      </c>
      <c r="B372" s="26"/>
      <c r="C372" s="26"/>
      <c r="D372" s="26"/>
      <c r="E372" s="26"/>
      <c r="F372" s="26"/>
      <c r="G372" s="26"/>
      <c r="H372" s="26"/>
      <c r="I372" s="26"/>
      <c r="J372" s="26"/>
    </row>
    <row r="373" ht="15" customHeight="1">
      <c r="A373" s="27">
        <v>367</v>
      </c>
      <c r="B373" s="27"/>
      <c r="C373" s="27"/>
      <c r="D373" s="27"/>
      <c r="E373" s="27"/>
      <c r="F373" s="27"/>
      <c r="G373" s="27"/>
      <c r="H373" s="27"/>
      <c r="I373" s="27"/>
      <c r="J373" s="27"/>
    </row>
    <row r="374" ht="15" customHeight="1">
      <c r="A374" s="26">
        <v>368</v>
      </c>
      <c r="B374" s="26"/>
      <c r="C374" s="26"/>
      <c r="D374" s="26"/>
      <c r="E374" s="26"/>
      <c r="F374" s="26"/>
      <c r="G374" s="26"/>
      <c r="H374" s="26"/>
      <c r="I374" s="26"/>
      <c r="J374" s="26"/>
    </row>
    <row r="375" ht="15" customHeight="1">
      <c r="A375" s="27">
        <v>369</v>
      </c>
      <c r="B375" s="27"/>
      <c r="C375" s="27"/>
      <c r="D375" s="27"/>
      <c r="E375" s="27"/>
      <c r="F375" s="27"/>
      <c r="G375" s="27"/>
      <c r="H375" s="27"/>
      <c r="I375" s="27"/>
      <c r="J375" s="27"/>
    </row>
    <row r="376" ht="15" customHeight="1">
      <c r="A376" s="26">
        <v>370</v>
      </c>
      <c r="B376" s="26"/>
      <c r="C376" s="26"/>
      <c r="D376" s="26"/>
      <c r="E376" s="26"/>
      <c r="F376" s="26"/>
      <c r="G376" s="26"/>
      <c r="H376" s="26"/>
      <c r="I376" s="26"/>
      <c r="J376" s="26"/>
    </row>
    <row r="377" ht="15" customHeight="1">
      <c r="A377" s="27">
        <v>371</v>
      </c>
      <c r="B377" s="27"/>
      <c r="C377" s="27"/>
      <c r="D377" s="27"/>
      <c r="E377" s="27"/>
      <c r="F377" s="27"/>
      <c r="G377" s="27"/>
      <c r="H377" s="27"/>
      <c r="I377" s="27"/>
      <c r="J377" s="27"/>
    </row>
    <row r="378" ht="15" customHeight="1">
      <c r="A378" s="26">
        <v>372</v>
      </c>
      <c r="B378" s="26"/>
      <c r="C378" s="26"/>
      <c r="D378" s="26"/>
      <c r="E378" s="26"/>
      <c r="F378" s="26"/>
      <c r="G378" s="26"/>
      <c r="H378" s="26"/>
      <c r="I378" s="26"/>
      <c r="J378" s="26"/>
    </row>
    <row r="379" ht="15" customHeight="1">
      <c r="A379" s="27">
        <v>373</v>
      </c>
      <c r="B379" s="27"/>
      <c r="C379" s="27"/>
      <c r="D379" s="27"/>
      <c r="E379" s="27"/>
      <c r="F379" s="27"/>
      <c r="G379" s="27"/>
      <c r="H379" s="27"/>
      <c r="I379" s="27"/>
      <c r="J379" s="27"/>
    </row>
    <row r="380" ht="15" customHeight="1">
      <c r="A380" s="26">
        <v>374</v>
      </c>
      <c r="B380" s="26"/>
      <c r="C380" s="26"/>
      <c r="D380" s="26"/>
      <c r="E380" s="26"/>
      <c r="F380" s="26"/>
      <c r="G380" s="26"/>
      <c r="H380" s="26"/>
      <c r="I380" s="26"/>
      <c r="J380" s="26"/>
    </row>
    <row r="381" ht="15" customHeight="1">
      <c r="A381" s="27">
        <v>375</v>
      </c>
      <c r="B381" s="27"/>
      <c r="C381" s="27"/>
      <c r="D381" s="27"/>
      <c r="E381" s="27"/>
      <c r="F381" s="27"/>
      <c r="G381" s="27"/>
      <c r="H381" s="27"/>
      <c r="I381" s="27"/>
      <c r="J381" s="27"/>
    </row>
    <row r="382" ht="15" customHeight="1">
      <c r="A382" s="26">
        <v>376</v>
      </c>
      <c r="B382" s="26"/>
      <c r="C382" s="26"/>
      <c r="D382" s="26"/>
      <c r="E382" s="26"/>
      <c r="F382" s="26"/>
      <c r="G382" s="26"/>
      <c r="H382" s="26"/>
      <c r="I382" s="26"/>
      <c r="J382" s="26"/>
    </row>
    <row r="383" ht="15" customHeight="1">
      <c r="A383" s="27">
        <v>377</v>
      </c>
      <c r="B383" s="27"/>
      <c r="C383" s="27"/>
      <c r="D383" s="27"/>
      <c r="E383" s="27"/>
      <c r="F383" s="27"/>
      <c r="G383" s="27"/>
      <c r="H383" s="27"/>
      <c r="I383" s="27"/>
      <c r="J383" s="27"/>
    </row>
    <row r="384" ht="15" customHeight="1">
      <c r="A384" s="26">
        <v>378</v>
      </c>
      <c r="B384" s="26"/>
      <c r="C384" s="26"/>
      <c r="D384" s="26"/>
      <c r="E384" s="26"/>
      <c r="F384" s="26"/>
      <c r="G384" s="26"/>
      <c r="H384" s="26"/>
      <c r="I384" s="26"/>
      <c r="J384" s="26"/>
    </row>
    <row r="385" ht="15" customHeight="1">
      <c r="A385" s="27">
        <v>379</v>
      </c>
      <c r="B385" s="27"/>
      <c r="C385" s="27"/>
      <c r="D385" s="27"/>
      <c r="E385" s="27"/>
      <c r="F385" s="27"/>
      <c r="G385" s="27"/>
      <c r="H385" s="27"/>
      <c r="I385" s="27"/>
      <c r="J385" s="27"/>
    </row>
    <row r="386" ht="15" customHeight="1">
      <c r="A386" s="26">
        <v>380</v>
      </c>
      <c r="B386" s="26"/>
      <c r="C386" s="26"/>
      <c r="D386" s="26"/>
      <c r="E386" s="26"/>
      <c r="F386" s="26"/>
      <c r="G386" s="26"/>
      <c r="H386" s="26"/>
      <c r="I386" s="26"/>
      <c r="J386" s="26"/>
    </row>
    <row r="387" ht="15" customHeight="1">
      <c r="A387" s="27">
        <v>381</v>
      </c>
      <c r="B387" s="27"/>
      <c r="C387" s="27"/>
      <c r="D387" s="27"/>
      <c r="E387" s="27"/>
      <c r="F387" s="27"/>
      <c r="G387" s="27"/>
      <c r="H387" s="27"/>
      <c r="I387" s="27"/>
      <c r="J387" s="27"/>
    </row>
    <row r="388" ht="15" customHeight="1">
      <c r="A388" s="26">
        <v>382</v>
      </c>
      <c r="B388" s="26"/>
      <c r="C388" s="26"/>
      <c r="D388" s="26"/>
      <c r="E388" s="26"/>
      <c r="F388" s="26"/>
      <c r="G388" s="26"/>
      <c r="H388" s="26"/>
      <c r="I388" s="26"/>
      <c r="J388" s="26"/>
    </row>
    <row r="389" ht="15" customHeight="1">
      <c r="A389" s="27">
        <v>383</v>
      </c>
      <c r="B389" s="27"/>
      <c r="C389" s="27"/>
      <c r="D389" s="27"/>
      <c r="E389" s="27"/>
      <c r="F389" s="27"/>
      <c r="G389" s="27"/>
      <c r="H389" s="27"/>
      <c r="I389" s="27"/>
      <c r="J389" s="27"/>
    </row>
    <row r="390" ht="15" customHeight="1">
      <c r="A390" s="26">
        <v>384</v>
      </c>
      <c r="B390" s="26"/>
      <c r="C390" s="26"/>
      <c r="D390" s="26"/>
      <c r="E390" s="26"/>
      <c r="F390" s="26"/>
      <c r="G390" s="26"/>
      <c r="H390" s="26"/>
      <c r="I390" s="26"/>
      <c r="J390" s="26"/>
    </row>
    <row r="391" ht="15" customHeight="1">
      <c r="A391" s="27">
        <v>385</v>
      </c>
      <c r="B391" s="27"/>
      <c r="C391" s="27"/>
      <c r="D391" s="27"/>
      <c r="E391" s="27"/>
      <c r="F391" s="27"/>
      <c r="G391" s="27"/>
      <c r="H391" s="27"/>
      <c r="I391" s="27"/>
      <c r="J391" s="27"/>
    </row>
    <row r="392" ht="15" customHeight="1">
      <c r="A392" s="26">
        <v>386</v>
      </c>
      <c r="B392" s="26"/>
      <c r="C392" s="26"/>
      <c r="D392" s="26"/>
      <c r="E392" s="26"/>
      <c r="F392" s="26"/>
      <c r="G392" s="26"/>
      <c r="H392" s="26"/>
      <c r="I392" s="26"/>
      <c r="J392" s="26"/>
    </row>
    <row r="393" ht="15" customHeight="1">
      <c r="A393" s="27">
        <v>387</v>
      </c>
      <c r="B393" s="27"/>
      <c r="C393" s="27"/>
      <c r="D393" s="27"/>
      <c r="E393" s="27"/>
      <c r="F393" s="27"/>
      <c r="G393" s="27"/>
      <c r="H393" s="27"/>
      <c r="I393" s="27"/>
      <c r="J393" s="27"/>
    </row>
    <row r="394" ht="15" customHeight="1">
      <c r="A394" s="26">
        <v>388</v>
      </c>
      <c r="B394" s="26"/>
      <c r="C394" s="26"/>
      <c r="D394" s="26"/>
      <c r="E394" s="26"/>
      <c r="F394" s="26"/>
      <c r="G394" s="26"/>
      <c r="H394" s="26"/>
      <c r="I394" s="26"/>
      <c r="J394" s="26"/>
    </row>
    <row r="395" ht="15" customHeight="1">
      <c r="A395" s="27">
        <v>389</v>
      </c>
      <c r="B395" s="27"/>
      <c r="C395" s="27"/>
      <c r="D395" s="27"/>
      <c r="E395" s="27"/>
      <c r="F395" s="27"/>
      <c r="G395" s="27"/>
      <c r="H395" s="27"/>
      <c r="I395" s="27"/>
      <c r="J395" s="27"/>
    </row>
    <row r="396" ht="15" customHeight="1">
      <c r="A396" s="26">
        <v>390</v>
      </c>
      <c r="B396" s="26"/>
      <c r="C396" s="26"/>
      <c r="D396" s="26"/>
      <c r="E396" s="26"/>
      <c r="F396" s="26"/>
      <c r="G396" s="26"/>
      <c r="H396" s="26"/>
      <c r="I396" s="26"/>
      <c r="J396" s="26"/>
    </row>
    <row r="397" ht="15" customHeight="1">
      <c r="A397" s="27">
        <v>391</v>
      </c>
      <c r="B397" s="27"/>
      <c r="C397" s="27"/>
      <c r="D397" s="27"/>
      <c r="E397" s="27"/>
      <c r="F397" s="27"/>
      <c r="G397" s="27"/>
      <c r="H397" s="27"/>
      <c r="I397" s="27"/>
      <c r="J397" s="27"/>
    </row>
    <row r="398" ht="15" customHeight="1">
      <c r="A398" s="26">
        <v>392</v>
      </c>
      <c r="B398" s="26"/>
      <c r="C398" s="26"/>
      <c r="D398" s="26"/>
      <c r="E398" s="26"/>
      <c r="F398" s="26"/>
      <c r="G398" s="26"/>
      <c r="H398" s="26"/>
      <c r="I398" s="26"/>
      <c r="J398" s="26"/>
    </row>
    <row r="399" ht="15" customHeight="1">
      <c r="A399" s="27">
        <v>393</v>
      </c>
      <c r="B399" s="27"/>
      <c r="C399" s="27"/>
      <c r="D399" s="27"/>
      <c r="E399" s="27"/>
      <c r="F399" s="27"/>
      <c r="G399" s="27"/>
      <c r="H399" s="27"/>
      <c r="I399" s="27"/>
      <c r="J399" s="27"/>
    </row>
    <row r="400" ht="15" customHeight="1">
      <c r="A400" s="26">
        <v>394</v>
      </c>
      <c r="B400" s="26"/>
      <c r="C400" s="26"/>
      <c r="D400" s="26"/>
      <c r="E400" s="26"/>
      <c r="F400" s="26"/>
      <c r="G400" s="26"/>
      <c r="H400" s="26"/>
      <c r="I400" s="26"/>
      <c r="J400" s="26"/>
    </row>
    <row r="401" ht="15" customHeight="1">
      <c r="A401" s="27">
        <v>395</v>
      </c>
      <c r="B401" s="27"/>
      <c r="C401" s="27"/>
      <c r="D401" s="27"/>
      <c r="E401" s="27"/>
      <c r="F401" s="27"/>
      <c r="G401" s="27"/>
      <c r="H401" s="27"/>
      <c r="I401" s="27"/>
      <c r="J401" s="27"/>
    </row>
    <row r="402" ht="15" customHeight="1">
      <c r="A402" s="26">
        <v>396</v>
      </c>
      <c r="B402" s="26"/>
      <c r="C402" s="26"/>
      <c r="D402" s="26"/>
      <c r="E402" s="26"/>
      <c r="F402" s="26"/>
      <c r="G402" s="26"/>
      <c r="H402" s="26"/>
      <c r="I402" s="26"/>
      <c r="J402" s="26"/>
    </row>
    <row r="403" ht="15" customHeight="1">
      <c r="A403" s="27">
        <v>397</v>
      </c>
      <c r="B403" s="27"/>
      <c r="C403" s="27"/>
      <c r="D403" s="27"/>
      <c r="E403" s="27"/>
      <c r="F403" s="27"/>
      <c r="G403" s="27"/>
      <c r="H403" s="27"/>
      <c r="I403" s="27"/>
      <c r="J403" s="27"/>
    </row>
    <row r="404" ht="15" customHeight="1">
      <c r="A404" s="26">
        <v>398</v>
      </c>
      <c r="B404" s="26"/>
      <c r="C404" s="26"/>
      <c r="D404" s="26"/>
      <c r="E404" s="26"/>
      <c r="F404" s="26"/>
      <c r="G404" s="26"/>
      <c r="H404" s="26"/>
      <c r="I404" s="26"/>
      <c r="J404" s="26"/>
    </row>
    <row r="405" ht="15" customHeight="1">
      <c r="A405" s="27">
        <v>399</v>
      </c>
      <c r="B405" s="27"/>
      <c r="C405" s="27"/>
      <c r="D405" s="27"/>
      <c r="E405" s="27"/>
      <c r="F405" s="27"/>
      <c r="G405" s="27"/>
      <c r="H405" s="27"/>
      <c r="I405" s="27"/>
      <c r="J405" s="27"/>
    </row>
    <row r="406" ht="15" customHeight="1">
      <c r="A406" s="26">
        <v>400</v>
      </c>
      <c r="B406" s="26"/>
      <c r="C406" s="26"/>
      <c r="D406" s="26"/>
      <c r="E406" s="26"/>
      <c r="F406" s="26"/>
      <c r="G406" s="26"/>
      <c r="H406" s="26"/>
      <c r="I406" s="26"/>
      <c r="J406" s="26"/>
    </row>
    <row r="407" ht="15" customHeight="1">
      <c r="A407" s="27">
        <v>401</v>
      </c>
      <c r="B407" s="27"/>
      <c r="C407" s="27"/>
      <c r="D407" s="27"/>
      <c r="E407" s="27"/>
      <c r="F407" s="27"/>
      <c r="G407" s="27"/>
      <c r="H407" s="27"/>
      <c r="I407" s="27"/>
      <c r="J407" s="27"/>
    </row>
    <row r="408" ht="15" customHeight="1">
      <c r="A408" s="26">
        <v>402</v>
      </c>
      <c r="B408" s="26"/>
      <c r="C408" s="26"/>
      <c r="D408" s="26"/>
      <c r="E408" s="26"/>
      <c r="F408" s="26"/>
      <c r="G408" s="26"/>
      <c r="H408" s="26"/>
      <c r="I408" s="26"/>
      <c r="J408" s="26"/>
    </row>
    <row r="409" ht="15" customHeight="1">
      <c r="A409" s="27">
        <v>403</v>
      </c>
      <c r="B409" s="27"/>
      <c r="C409" s="27"/>
      <c r="D409" s="27"/>
      <c r="E409" s="27"/>
      <c r="F409" s="27"/>
      <c r="G409" s="27"/>
      <c r="H409" s="27"/>
      <c r="I409" s="27"/>
      <c r="J409" s="27"/>
    </row>
    <row r="410" ht="15" customHeight="1">
      <c r="A410" s="26">
        <v>404</v>
      </c>
      <c r="B410" s="26"/>
      <c r="C410" s="26"/>
      <c r="D410" s="26"/>
      <c r="E410" s="26"/>
      <c r="F410" s="26"/>
      <c r="G410" s="26"/>
      <c r="H410" s="26"/>
      <c r="I410" s="26"/>
      <c r="J410" s="26"/>
    </row>
    <row r="411" ht="15" customHeight="1">
      <c r="A411" s="27">
        <v>405</v>
      </c>
      <c r="B411" s="27"/>
      <c r="C411" s="27"/>
      <c r="D411" s="27"/>
      <c r="E411" s="27"/>
      <c r="F411" s="27"/>
      <c r="G411" s="27"/>
      <c r="H411" s="27"/>
      <c r="I411" s="27"/>
      <c r="J411" s="27"/>
    </row>
    <row r="412" ht="15" customHeight="1">
      <c r="A412" s="26">
        <v>406</v>
      </c>
      <c r="B412" s="26"/>
      <c r="C412" s="26"/>
      <c r="D412" s="26"/>
      <c r="E412" s="26"/>
      <c r="F412" s="26"/>
      <c r="G412" s="26"/>
      <c r="H412" s="26"/>
      <c r="I412" s="26"/>
      <c r="J412" s="26"/>
    </row>
    <row r="413" ht="15" customHeight="1">
      <c r="A413" s="27">
        <v>407</v>
      </c>
      <c r="B413" s="27"/>
      <c r="C413" s="27"/>
      <c r="D413" s="27"/>
      <c r="E413" s="27"/>
      <c r="F413" s="27"/>
      <c r="G413" s="27"/>
      <c r="H413" s="27"/>
      <c r="I413" s="27"/>
      <c r="J413" s="27"/>
    </row>
    <row r="414" ht="15" customHeight="1">
      <c r="A414" s="26">
        <v>408</v>
      </c>
      <c r="B414" s="26"/>
      <c r="C414" s="26"/>
      <c r="D414" s="26"/>
      <c r="E414" s="26"/>
      <c r="F414" s="26"/>
      <c r="G414" s="26"/>
      <c r="H414" s="26"/>
      <c r="I414" s="26"/>
      <c r="J414" s="26"/>
    </row>
    <row r="415" ht="15" customHeight="1">
      <c r="A415" s="27">
        <v>409</v>
      </c>
      <c r="B415" s="27"/>
      <c r="C415" s="27"/>
      <c r="D415" s="27"/>
      <c r="E415" s="27"/>
      <c r="F415" s="27"/>
      <c r="G415" s="27"/>
      <c r="H415" s="27"/>
      <c r="I415" s="27"/>
      <c r="J415" s="27"/>
    </row>
    <row r="416" ht="15" customHeight="1">
      <c r="A416" s="26">
        <v>410</v>
      </c>
      <c r="B416" s="26"/>
      <c r="C416" s="26"/>
      <c r="D416" s="26"/>
      <c r="E416" s="26"/>
      <c r="F416" s="26"/>
      <c r="G416" s="26"/>
      <c r="H416" s="26"/>
      <c r="I416" s="26"/>
      <c r="J416" s="26"/>
    </row>
    <row r="417" ht="15" customHeight="1">
      <c r="A417" s="27">
        <v>411</v>
      </c>
      <c r="B417" s="27"/>
      <c r="C417" s="27"/>
      <c r="D417" s="27"/>
      <c r="E417" s="27"/>
      <c r="F417" s="27"/>
      <c r="G417" s="27"/>
      <c r="H417" s="27"/>
      <c r="I417" s="27"/>
      <c r="J417" s="27"/>
    </row>
    <row r="418" ht="15" customHeight="1">
      <c r="A418" s="26">
        <v>412</v>
      </c>
      <c r="B418" s="26"/>
      <c r="C418" s="26"/>
      <c r="D418" s="26"/>
      <c r="E418" s="26"/>
      <c r="F418" s="26"/>
      <c r="G418" s="26"/>
      <c r="H418" s="26"/>
      <c r="I418" s="26"/>
      <c r="J418" s="26"/>
    </row>
    <row r="419" ht="15" customHeight="1">
      <c r="A419" s="27">
        <v>413</v>
      </c>
      <c r="B419" s="27"/>
      <c r="C419" s="27"/>
      <c r="D419" s="27"/>
      <c r="E419" s="27"/>
      <c r="F419" s="27"/>
      <c r="G419" s="27"/>
      <c r="H419" s="27"/>
      <c r="I419" s="27"/>
      <c r="J419" s="27"/>
    </row>
    <row r="420" ht="15" customHeight="1">
      <c r="A420" s="26">
        <v>414</v>
      </c>
      <c r="B420" s="26"/>
      <c r="C420" s="26"/>
      <c r="D420" s="26"/>
      <c r="E420" s="26"/>
      <c r="F420" s="26"/>
      <c r="G420" s="26"/>
      <c r="H420" s="26"/>
      <c r="I420" s="26"/>
      <c r="J420" s="26"/>
    </row>
    <row r="421" ht="15" customHeight="1">
      <c r="A421" s="27">
        <v>415</v>
      </c>
      <c r="B421" s="27"/>
      <c r="C421" s="27"/>
      <c r="D421" s="27"/>
      <c r="E421" s="27"/>
      <c r="F421" s="27"/>
      <c r="G421" s="27"/>
      <c r="H421" s="27"/>
      <c r="I421" s="27"/>
      <c r="J421" s="27"/>
    </row>
    <row r="422" ht="15" customHeight="1">
      <c r="A422" s="26">
        <v>416</v>
      </c>
      <c r="B422" s="26"/>
      <c r="C422" s="26"/>
      <c r="D422" s="26"/>
      <c r="E422" s="26"/>
      <c r="F422" s="26"/>
      <c r="G422" s="26"/>
      <c r="H422" s="26"/>
      <c r="I422" s="26"/>
      <c r="J422" s="26"/>
    </row>
    <row r="423" ht="15" customHeight="1">
      <c r="A423" s="27">
        <v>417</v>
      </c>
      <c r="B423" s="27"/>
      <c r="C423" s="27"/>
      <c r="D423" s="27"/>
      <c r="E423" s="27"/>
      <c r="F423" s="27"/>
      <c r="G423" s="27"/>
      <c r="H423" s="27"/>
      <c r="I423" s="27"/>
      <c r="J423" s="27"/>
    </row>
    <row r="424" ht="15" customHeight="1">
      <c r="A424" s="26">
        <v>418</v>
      </c>
      <c r="B424" s="26"/>
      <c r="C424" s="26"/>
      <c r="D424" s="26"/>
      <c r="E424" s="26"/>
      <c r="F424" s="26"/>
      <c r="G424" s="26"/>
      <c r="H424" s="26"/>
      <c r="I424" s="26"/>
      <c r="J424" s="26"/>
    </row>
    <row r="425" ht="15" customHeight="1">
      <c r="A425" s="27">
        <v>419</v>
      </c>
      <c r="B425" s="27"/>
      <c r="C425" s="27"/>
      <c r="D425" s="27"/>
      <c r="E425" s="27"/>
      <c r="F425" s="27"/>
      <c r="G425" s="27"/>
      <c r="H425" s="27"/>
      <c r="I425" s="27"/>
      <c r="J425" s="27"/>
    </row>
    <row r="426" ht="15" customHeight="1">
      <c r="A426" s="26">
        <v>420</v>
      </c>
      <c r="B426" s="26"/>
      <c r="C426" s="26"/>
      <c r="D426" s="26"/>
      <c r="E426" s="26"/>
      <c r="F426" s="26"/>
      <c r="G426" s="26"/>
      <c r="H426" s="26"/>
      <c r="I426" s="26"/>
      <c r="J426" s="26"/>
    </row>
    <row r="427" ht="15" customHeight="1">
      <c r="A427" s="27">
        <v>421</v>
      </c>
      <c r="B427" s="27"/>
      <c r="C427" s="27"/>
      <c r="D427" s="27"/>
      <c r="E427" s="27"/>
      <c r="F427" s="27"/>
      <c r="G427" s="27"/>
      <c r="H427" s="27"/>
      <c r="I427" s="27"/>
      <c r="J427" s="27"/>
    </row>
    <row r="428" ht="15" customHeight="1">
      <c r="A428" s="26">
        <v>422</v>
      </c>
      <c r="B428" s="26"/>
      <c r="C428" s="26"/>
      <c r="D428" s="26"/>
      <c r="E428" s="26"/>
      <c r="F428" s="26"/>
      <c r="G428" s="26"/>
      <c r="H428" s="26"/>
      <c r="I428" s="26"/>
      <c r="J428" s="26"/>
    </row>
    <row r="429" ht="15" customHeight="1">
      <c r="A429" s="27">
        <v>423</v>
      </c>
      <c r="B429" s="27"/>
      <c r="C429" s="27"/>
      <c r="D429" s="27"/>
      <c r="E429" s="27"/>
      <c r="F429" s="27"/>
      <c r="G429" s="27"/>
      <c r="H429" s="27"/>
      <c r="I429" s="27"/>
      <c r="J429" s="27"/>
    </row>
    <row r="430" ht="15" customHeight="1">
      <c r="A430" s="26">
        <v>424</v>
      </c>
      <c r="B430" s="26"/>
      <c r="C430" s="26"/>
      <c r="D430" s="26"/>
      <c r="E430" s="26"/>
      <c r="F430" s="26"/>
      <c r="G430" s="26"/>
      <c r="H430" s="26"/>
      <c r="I430" s="26"/>
      <c r="J430" s="26"/>
    </row>
    <row r="431" ht="15" customHeight="1">
      <c r="A431" s="27">
        <v>425</v>
      </c>
      <c r="B431" s="27"/>
      <c r="C431" s="27"/>
      <c r="D431" s="27"/>
      <c r="E431" s="27"/>
      <c r="F431" s="27"/>
      <c r="G431" s="27"/>
      <c r="H431" s="27"/>
      <c r="I431" s="27"/>
      <c r="J431" s="27"/>
    </row>
    <row r="432" ht="15" customHeight="1">
      <c r="A432" s="26">
        <v>426</v>
      </c>
      <c r="B432" s="26"/>
      <c r="C432" s="26"/>
      <c r="D432" s="26"/>
      <c r="E432" s="26"/>
      <c r="F432" s="26"/>
      <c r="G432" s="26"/>
      <c r="H432" s="26"/>
      <c r="I432" s="26"/>
      <c r="J432" s="26"/>
    </row>
    <row r="433" ht="15" customHeight="1">
      <c r="A433" s="27">
        <v>427</v>
      </c>
      <c r="B433" s="27"/>
      <c r="C433" s="27"/>
      <c r="D433" s="27"/>
      <c r="E433" s="27"/>
      <c r="F433" s="27"/>
      <c r="G433" s="27"/>
      <c r="H433" s="27"/>
      <c r="I433" s="27"/>
      <c r="J433" s="27"/>
    </row>
    <row r="434" ht="15" customHeight="1">
      <c r="A434" s="26">
        <v>428</v>
      </c>
      <c r="B434" s="26"/>
      <c r="C434" s="26"/>
      <c r="D434" s="26"/>
      <c r="E434" s="26"/>
      <c r="F434" s="26"/>
      <c r="G434" s="26"/>
      <c r="H434" s="26"/>
      <c r="I434" s="26"/>
      <c r="J434" s="26"/>
    </row>
    <row r="435" ht="15" customHeight="1">
      <c r="A435" s="27">
        <v>429</v>
      </c>
      <c r="B435" s="27"/>
      <c r="C435" s="27"/>
      <c r="D435" s="27"/>
      <c r="E435" s="27"/>
      <c r="F435" s="27"/>
      <c r="G435" s="27"/>
      <c r="H435" s="27"/>
      <c r="I435" s="27"/>
      <c r="J435" s="27"/>
    </row>
    <row r="436" ht="15" customHeight="1">
      <c r="A436" s="26">
        <v>430</v>
      </c>
      <c r="B436" s="26"/>
      <c r="C436" s="26"/>
      <c r="D436" s="26"/>
      <c r="E436" s="26"/>
      <c r="F436" s="26"/>
      <c r="G436" s="26"/>
      <c r="H436" s="26"/>
      <c r="I436" s="26"/>
      <c r="J436" s="26"/>
    </row>
    <row r="437" ht="15" customHeight="1">
      <c r="A437" s="27">
        <v>431</v>
      </c>
      <c r="B437" s="27"/>
      <c r="C437" s="27"/>
      <c r="D437" s="27"/>
      <c r="E437" s="27"/>
      <c r="F437" s="27"/>
      <c r="G437" s="27"/>
      <c r="H437" s="27"/>
      <c r="I437" s="27"/>
      <c r="J437" s="27"/>
    </row>
    <row r="438" ht="15" customHeight="1">
      <c r="A438" s="26">
        <v>432</v>
      </c>
      <c r="B438" s="26"/>
      <c r="C438" s="26"/>
      <c r="D438" s="26"/>
      <c r="E438" s="26"/>
      <c r="F438" s="26"/>
      <c r="G438" s="26"/>
      <c r="H438" s="26"/>
      <c r="I438" s="26"/>
      <c r="J438" s="26"/>
    </row>
    <row r="439" ht="15" customHeight="1">
      <c r="A439" s="27">
        <v>433</v>
      </c>
      <c r="B439" s="27"/>
      <c r="C439" s="27"/>
      <c r="D439" s="27"/>
      <c r="E439" s="27"/>
      <c r="F439" s="27"/>
      <c r="G439" s="27"/>
      <c r="H439" s="27"/>
      <c r="I439" s="27"/>
      <c r="J439" s="27"/>
    </row>
    <row r="440" ht="15" customHeight="1">
      <c r="A440" s="26">
        <v>434</v>
      </c>
      <c r="B440" s="26"/>
      <c r="C440" s="26"/>
      <c r="D440" s="26"/>
      <c r="E440" s="26"/>
      <c r="F440" s="26"/>
      <c r="G440" s="26"/>
      <c r="H440" s="26"/>
      <c r="I440" s="26"/>
      <c r="J440" s="26"/>
    </row>
    <row r="441" ht="15" customHeight="1">
      <c r="A441" s="27">
        <v>435</v>
      </c>
      <c r="B441" s="27"/>
      <c r="C441" s="27"/>
      <c r="D441" s="27"/>
      <c r="E441" s="27"/>
      <c r="F441" s="27"/>
      <c r="G441" s="27"/>
      <c r="H441" s="27"/>
      <c r="I441" s="27"/>
      <c r="J441" s="27"/>
    </row>
    <row r="442" ht="15" customHeight="1">
      <c r="A442" s="26">
        <v>436</v>
      </c>
      <c r="B442" s="26"/>
      <c r="C442" s="26"/>
      <c r="D442" s="26"/>
      <c r="E442" s="26"/>
      <c r="F442" s="26"/>
      <c r="G442" s="26"/>
      <c r="H442" s="26"/>
      <c r="I442" s="26"/>
      <c r="J442" s="26"/>
    </row>
    <row r="443" ht="15" customHeight="1">
      <c r="A443" s="27">
        <v>437</v>
      </c>
      <c r="B443" s="27"/>
      <c r="C443" s="27"/>
      <c r="D443" s="27"/>
      <c r="E443" s="27"/>
      <c r="F443" s="27"/>
      <c r="G443" s="27"/>
      <c r="H443" s="27"/>
      <c r="I443" s="27"/>
      <c r="J443" s="27"/>
    </row>
    <row r="444" ht="15" customHeight="1">
      <c r="A444" s="26">
        <v>438</v>
      </c>
      <c r="B444" s="26"/>
      <c r="C444" s="26"/>
      <c r="D444" s="26"/>
      <c r="E444" s="26"/>
      <c r="F444" s="26"/>
      <c r="G444" s="26"/>
      <c r="H444" s="26"/>
      <c r="I444" s="26"/>
      <c r="J444" s="26"/>
    </row>
    <row r="445" ht="15" customHeight="1">
      <c r="A445" s="27">
        <v>439</v>
      </c>
      <c r="B445" s="27"/>
      <c r="C445" s="27"/>
      <c r="D445" s="27"/>
      <c r="E445" s="27"/>
      <c r="F445" s="27"/>
      <c r="G445" s="27"/>
      <c r="H445" s="27"/>
      <c r="I445" s="27"/>
      <c r="J445" s="27"/>
    </row>
    <row r="446" ht="15" customHeight="1">
      <c r="A446" s="26">
        <v>440</v>
      </c>
      <c r="B446" s="26"/>
      <c r="C446" s="26"/>
      <c r="D446" s="26"/>
      <c r="E446" s="26"/>
      <c r="F446" s="26"/>
      <c r="G446" s="26"/>
      <c r="H446" s="26"/>
      <c r="I446" s="26"/>
      <c r="J446" s="26"/>
    </row>
    <row r="447" ht="15" customHeight="1">
      <c r="A447" s="27">
        <v>441</v>
      </c>
      <c r="B447" s="27"/>
      <c r="C447" s="27"/>
      <c r="D447" s="27"/>
      <c r="E447" s="27"/>
      <c r="F447" s="27"/>
      <c r="G447" s="27"/>
      <c r="H447" s="27"/>
      <c r="I447" s="27"/>
      <c r="J447" s="27"/>
    </row>
    <row r="448" ht="15" customHeight="1">
      <c r="A448" s="26">
        <v>442</v>
      </c>
      <c r="B448" s="26"/>
      <c r="C448" s="26"/>
      <c r="D448" s="26"/>
      <c r="E448" s="26"/>
      <c r="F448" s="26"/>
      <c r="G448" s="26"/>
      <c r="H448" s="26"/>
      <c r="I448" s="26"/>
      <c r="J448" s="26"/>
    </row>
    <row r="449" ht="15" customHeight="1">
      <c r="A449" s="27">
        <v>443</v>
      </c>
      <c r="B449" s="27"/>
      <c r="C449" s="27"/>
      <c r="D449" s="27"/>
      <c r="E449" s="27"/>
      <c r="F449" s="27"/>
      <c r="G449" s="27"/>
      <c r="H449" s="27"/>
      <c r="I449" s="27"/>
      <c r="J449" s="27"/>
    </row>
    <row r="450" ht="15" customHeight="1">
      <c r="A450" s="26">
        <v>444</v>
      </c>
      <c r="B450" s="26"/>
      <c r="C450" s="26"/>
      <c r="D450" s="26"/>
      <c r="E450" s="26"/>
      <c r="F450" s="26"/>
      <c r="G450" s="26"/>
      <c r="H450" s="26"/>
      <c r="I450" s="26"/>
      <c r="J450" s="26"/>
    </row>
    <row r="451" ht="15" customHeight="1">
      <c r="A451" s="27">
        <v>445</v>
      </c>
      <c r="B451" s="27"/>
      <c r="C451" s="27"/>
      <c r="D451" s="27"/>
      <c r="E451" s="27"/>
      <c r="F451" s="27"/>
      <c r="G451" s="27"/>
      <c r="H451" s="27"/>
      <c r="I451" s="27"/>
      <c r="J451" s="27"/>
    </row>
    <row r="452" ht="15" customHeight="1">
      <c r="A452" s="26">
        <v>446</v>
      </c>
      <c r="B452" s="26"/>
      <c r="C452" s="26"/>
      <c r="D452" s="26"/>
      <c r="E452" s="26"/>
      <c r="F452" s="26"/>
      <c r="G452" s="26"/>
      <c r="H452" s="26"/>
      <c r="I452" s="26"/>
      <c r="J452" s="26"/>
    </row>
    <row r="453" ht="15" customHeight="1">
      <c r="A453" s="27">
        <v>447</v>
      </c>
      <c r="B453" s="27"/>
      <c r="C453" s="27"/>
      <c r="D453" s="27"/>
      <c r="E453" s="27"/>
      <c r="F453" s="27"/>
      <c r="G453" s="27"/>
      <c r="H453" s="27"/>
      <c r="I453" s="27"/>
      <c r="J453" s="27"/>
    </row>
    <row r="454" ht="15" customHeight="1">
      <c r="A454" s="26">
        <v>448</v>
      </c>
      <c r="B454" s="26"/>
      <c r="C454" s="26"/>
      <c r="D454" s="26"/>
      <c r="E454" s="26"/>
      <c r="F454" s="26"/>
      <c r="G454" s="26"/>
      <c r="H454" s="26"/>
      <c r="I454" s="26"/>
      <c r="J454" s="26"/>
    </row>
    <row r="455" ht="15" customHeight="1">
      <c r="A455" s="27">
        <v>449</v>
      </c>
      <c r="B455" s="27"/>
      <c r="C455" s="27"/>
      <c r="D455" s="27"/>
      <c r="E455" s="27"/>
      <c r="F455" s="27"/>
      <c r="G455" s="27"/>
      <c r="H455" s="27"/>
      <c r="I455" s="27"/>
      <c r="J455" s="27"/>
    </row>
    <row r="456" ht="15" customHeight="1">
      <c r="A456" s="26">
        <v>450</v>
      </c>
      <c r="B456" s="26"/>
      <c r="C456" s="26"/>
      <c r="D456" s="26"/>
      <c r="E456" s="26"/>
      <c r="F456" s="26"/>
      <c r="G456" s="26"/>
      <c r="H456" s="26"/>
      <c r="I456" s="26"/>
      <c r="J456" s="26"/>
    </row>
    <row r="457" ht="15" customHeight="1">
      <c r="A457" s="27">
        <v>451</v>
      </c>
      <c r="B457" s="27"/>
      <c r="C457" s="27"/>
      <c r="D457" s="27"/>
      <c r="E457" s="27"/>
      <c r="F457" s="27"/>
      <c r="G457" s="27"/>
      <c r="H457" s="27"/>
      <c r="I457" s="27"/>
      <c r="J457" s="27"/>
    </row>
    <row r="458" ht="15" customHeight="1">
      <c r="A458" s="26">
        <v>452</v>
      </c>
      <c r="B458" s="26"/>
      <c r="C458" s="26"/>
      <c r="D458" s="26"/>
      <c r="E458" s="26"/>
      <c r="F458" s="26"/>
      <c r="G458" s="26"/>
      <c r="H458" s="26"/>
      <c r="I458" s="26"/>
      <c r="J458" s="26"/>
    </row>
    <row r="459" ht="15" customHeight="1">
      <c r="A459" s="27">
        <v>453</v>
      </c>
      <c r="B459" s="27"/>
      <c r="C459" s="27"/>
      <c r="D459" s="27"/>
      <c r="E459" s="27"/>
      <c r="F459" s="27"/>
      <c r="G459" s="27"/>
      <c r="H459" s="27"/>
      <c r="I459" s="27"/>
      <c r="J459" s="27"/>
    </row>
    <row r="460" ht="15" customHeight="1">
      <c r="A460" s="26">
        <v>454</v>
      </c>
      <c r="B460" s="26"/>
      <c r="C460" s="26"/>
      <c r="D460" s="26"/>
      <c r="E460" s="26"/>
      <c r="F460" s="26"/>
      <c r="G460" s="26"/>
      <c r="H460" s="26"/>
      <c r="I460" s="26"/>
      <c r="J460" s="26"/>
    </row>
    <row r="461" ht="15" customHeight="1">
      <c r="A461" s="27">
        <v>455</v>
      </c>
      <c r="B461" s="27"/>
      <c r="C461" s="27"/>
      <c r="D461" s="27"/>
      <c r="E461" s="27"/>
      <c r="F461" s="27"/>
      <c r="G461" s="27"/>
      <c r="H461" s="27"/>
      <c r="I461" s="27"/>
      <c r="J461" s="27"/>
    </row>
    <row r="462" ht="15" customHeight="1">
      <c r="A462" s="26">
        <v>456</v>
      </c>
      <c r="B462" s="26"/>
      <c r="C462" s="26"/>
      <c r="D462" s="26"/>
      <c r="E462" s="26"/>
      <c r="F462" s="26"/>
      <c r="G462" s="26"/>
      <c r="H462" s="26"/>
      <c r="I462" s="26"/>
      <c r="J462" s="26"/>
    </row>
    <row r="463" ht="15" customHeight="1">
      <c r="A463" s="27">
        <v>457</v>
      </c>
      <c r="B463" s="27"/>
      <c r="C463" s="27"/>
      <c r="D463" s="27"/>
      <c r="E463" s="27"/>
      <c r="F463" s="27"/>
      <c r="G463" s="27"/>
      <c r="H463" s="27"/>
      <c r="I463" s="27"/>
      <c r="J463" s="27"/>
    </row>
    <row r="464" ht="15" customHeight="1">
      <c r="A464" s="26">
        <v>458</v>
      </c>
      <c r="B464" s="26"/>
      <c r="C464" s="26"/>
      <c r="D464" s="26"/>
      <c r="E464" s="26"/>
      <c r="F464" s="26"/>
      <c r="G464" s="26"/>
      <c r="H464" s="26"/>
      <c r="I464" s="26"/>
      <c r="J464" s="26"/>
    </row>
    <row r="465" ht="15" customHeight="1">
      <c r="A465" s="27">
        <v>459</v>
      </c>
      <c r="B465" s="27"/>
      <c r="C465" s="27"/>
      <c r="D465" s="27"/>
      <c r="E465" s="27"/>
      <c r="F465" s="27"/>
      <c r="G465" s="27"/>
      <c r="H465" s="27"/>
      <c r="I465" s="27"/>
      <c r="J465" s="27"/>
    </row>
    <row r="466" ht="15" customHeight="1">
      <c r="A466" s="26">
        <v>460</v>
      </c>
      <c r="B466" s="26"/>
      <c r="C466" s="26"/>
      <c r="D466" s="26"/>
      <c r="E466" s="26"/>
      <c r="F466" s="26"/>
      <c r="G466" s="26"/>
      <c r="H466" s="26"/>
      <c r="I466" s="26"/>
      <c r="J466" s="26"/>
    </row>
    <row r="467" ht="15" customHeight="1">
      <c r="A467" s="27">
        <v>461</v>
      </c>
      <c r="B467" s="27"/>
      <c r="C467" s="27"/>
      <c r="D467" s="27"/>
      <c r="E467" s="27"/>
      <c r="F467" s="27"/>
      <c r="G467" s="27"/>
      <c r="H467" s="27"/>
      <c r="I467" s="27"/>
      <c r="J467" s="27"/>
    </row>
    <row r="468" ht="15" customHeight="1">
      <c r="A468" s="26">
        <v>462</v>
      </c>
      <c r="B468" s="26"/>
      <c r="C468" s="26"/>
      <c r="D468" s="26"/>
      <c r="E468" s="26"/>
      <c r="F468" s="26"/>
      <c r="G468" s="26"/>
      <c r="H468" s="26"/>
      <c r="I468" s="26"/>
      <c r="J468" s="26"/>
    </row>
    <row r="469" ht="15" customHeight="1">
      <c r="A469" s="27">
        <v>463</v>
      </c>
      <c r="B469" s="27"/>
      <c r="C469" s="27"/>
      <c r="D469" s="27"/>
      <c r="E469" s="27"/>
      <c r="F469" s="27"/>
      <c r="G469" s="27"/>
      <c r="H469" s="27"/>
      <c r="I469" s="27"/>
      <c r="J469" s="27"/>
    </row>
    <row r="470" ht="15" customHeight="1">
      <c r="A470" s="26">
        <v>464</v>
      </c>
      <c r="B470" s="26"/>
      <c r="C470" s="26"/>
      <c r="D470" s="26"/>
      <c r="E470" s="26"/>
      <c r="F470" s="26"/>
      <c r="G470" s="26"/>
      <c r="H470" s="26"/>
      <c r="I470" s="26"/>
      <c r="J470" s="26"/>
    </row>
    <row r="471" ht="15" customHeight="1">
      <c r="A471" s="27">
        <v>465</v>
      </c>
      <c r="B471" s="27"/>
      <c r="C471" s="27"/>
      <c r="D471" s="27"/>
      <c r="E471" s="27"/>
      <c r="F471" s="27"/>
      <c r="G471" s="27"/>
      <c r="H471" s="27"/>
      <c r="I471" s="27"/>
      <c r="J471" s="27"/>
    </row>
    <row r="472" ht="15" customHeight="1">
      <c r="A472" s="26">
        <v>466</v>
      </c>
      <c r="B472" s="26"/>
      <c r="C472" s="26"/>
      <c r="D472" s="26"/>
      <c r="E472" s="26"/>
      <c r="F472" s="26"/>
      <c r="G472" s="26"/>
      <c r="H472" s="26"/>
      <c r="I472" s="26"/>
      <c r="J472" s="26"/>
    </row>
    <row r="473" ht="15" customHeight="1">
      <c r="A473" s="27">
        <v>467</v>
      </c>
      <c r="B473" s="27"/>
      <c r="C473" s="27"/>
      <c r="D473" s="27"/>
      <c r="E473" s="27"/>
      <c r="F473" s="27"/>
      <c r="G473" s="27"/>
      <c r="H473" s="27"/>
      <c r="I473" s="27"/>
      <c r="J473" s="27"/>
    </row>
    <row r="474" ht="15" customHeight="1">
      <c r="A474" s="26">
        <v>468</v>
      </c>
      <c r="B474" s="26"/>
      <c r="C474" s="26"/>
      <c r="D474" s="26"/>
      <c r="E474" s="26"/>
      <c r="F474" s="26"/>
      <c r="G474" s="26"/>
      <c r="H474" s="26"/>
      <c r="I474" s="26"/>
      <c r="J474" s="26"/>
    </row>
    <row r="475" ht="15" customHeight="1">
      <c r="A475" s="27">
        <v>469</v>
      </c>
      <c r="B475" s="27"/>
      <c r="C475" s="27"/>
      <c r="D475" s="27"/>
      <c r="E475" s="27"/>
      <c r="F475" s="27"/>
      <c r="G475" s="27"/>
      <c r="H475" s="27"/>
      <c r="I475" s="27"/>
      <c r="J475" s="27"/>
    </row>
    <row r="476" ht="15" customHeight="1">
      <c r="A476" s="26">
        <v>470</v>
      </c>
      <c r="B476" s="26"/>
      <c r="C476" s="26"/>
      <c r="D476" s="26"/>
      <c r="E476" s="26"/>
      <c r="F476" s="26"/>
      <c r="G476" s="26"/>
      <c r="H476" s="26"/>
      <c r="I476" s="26"/>
      <c r="J476" s="26"/>
    </row>
    <row r="477" ht="15" customHeight="1">
      <c r="A477" s="27">
        <v>471</v>
      </c>
      <c r="B477" s="27"/>
      <c r="C477" s="27"/>
      <c r="D477" s="27"/>
      <c r="E477" s="27"/>
      <c r="F477" s="27"/>
      <c r="G477" s="27"/>
      <c r="H477" s="27"/>
      <c r="I477" s="27"/>
      <c r="J477" s="27"/>
    </row>
    <row r="478" ht="15" customHeight="1">
      <c r="A478" s="26">
        <v>472</v>
      </c>
      <c r="B478" s="26"/>
      <c r="C478" s="26"/>
      <c r="D478" s="26"/>
      <c r="E478" s="26"/>
      <c r="F478" s="26"/>
      <c r="G478" s="26"/>
      <c r="H478" s="26"/>
      <c r="I478" s="26"/>
      <c r="J478" s="26"/>
    </row>
    <row r="479" ht="15" customHeight="1">
      <c r="A479" s="27">
        <v>473</v>
      </c>
      <c r="B479" s="27"/>
      <c r="C479" s="27"/>
      <c r="D479" s="27"/>
      <c r="E479" s="27"/>
      <c r="F479" s="27"/>
      <c r="G479" s="27"/>
      <c r="H479" s="27"/>
      <c r="I479" s="27"/>
      <c r="J479" s="27"/>
    </row>
    <row r="480" ht="15" customHeight="1">
      <c r="A480" s="26">
        <v>474</v>
      </c>
      <c r="B480" s="26"/>
      <c r="C480" s="26"/>
      <c r="D480" s="26"/>
      <c r="E480" s="26"/>
      <c r="F480" s="26"/>
      <c r="G480" s="26"/>
      <c r="H480" s="26"/>
      <c r="I480" s="26"/>
      <c r="J480" s="26"/>
    </row>
    <row r="481" ht="15" customHeight="1">
      <c r="A481" s="27">
        <v>475</v>
      </c>
      <c r="B481" s="27"/>
      <c r="C481" s="27"/>
      <c r="D481" s="27"/>
      <c r="E481" s="27"/>
      <c r="F481" s="27"/>
      <c r="G481" s="27"/>
      <c r="H481" s="27"/>
      <c r="I481" s="27"/>
      <c r="J481" s="27"/>
    </row>
    <row r="482" ht="15" customHeight="1">
      <c r="A482" s="26">
        <v>476</v>
      </c>
      <c r="B482" s="26"/>
      <c r="C482" s="26"/>
      <c r="D482" s="26"/>
      <c r="E482" s="26"/>
      <c r="F482" s="26"/>
      <c r="G482" s="26"/>
      <c r="H482" s="26"/>
      <c r="I482" s="26"/>
      <c r="J482" s="26"/>
    </row>
    <row r="483" ht="15" customHeight="1">
      <c r="A483" s="27">
        <v>477</v>
      </c>
      <c r="B483" s="27"/>
      <c r="C483" s="27"/>
      <c r="D483" s="27"/>
      <c r="E483" s="27"/>
      <c r="F483" s="27"/>
      <c r="G483" s="27"/>
      <c r="H483" s="27"/>
      <c r="I483" s="27"/>
      <c r="J483" s="27"/>
    </row>
    <row r="484" ht="15" customHeight="1">
      <c r="A484" s="26">
        <v>478</v>
      </c>
      <c r="B484" s="26"/>
      <c r="C484" s="26"/>
      <c r="D484" s="26"/>
      <c r="E484" s="26"/>
      <c r="F484" s="26"/>
      <c r="G484" s="26"/>
      <c r="H484" s="26"/>
      <c r="I484" s="26"/>
      <c r="J484" s="26"/>
    </row>
    <row r="485" ht="15" customHeight="1">
      <c r="A485" s="27">
        <v>479</v>
      </c>
      <c r="B485" s="27"/>
      <c r="C485" s="27"/>
      <c r="D485" s="27"/>
      <c r="E485" s="27"/>
      <c r="F485" s="27"/>
      <c r="G485" s="27"/>
      <c r="H485" s="27"/>
      <c r="I485" s="27"/>
      <c r="J485" s="27"/>
    </row>
    <row r="486" ht="15" customHeight="1">
      <c r="A486" s="26">
        <v>480</v>
      </c>
      <c r="B486" s="26"/>
      <c r="C486" s="26"/>
      <c r="D486" s="26"/>
      <c r="E486" s="26"/>
      <c r="F486" s="26"/>
      <c r="G486" s="26"/>
      <c r="H486" s="26"/>
      <c r="I486" s="26"/>
      <c r="J486" s="26"/>
    </row>
    <row r="487" ht="15" customHeight="1">
      <c r="A487" s="27">
        <v>481</v>
      </c>
      <c r="B487" s="27"/>
      <c r="C487" s="27"/>
      <c r="D487" s="27"/>
      <c r="E487" s="27"/>
      <c r="F487" s="27"/>
      <c r="G487" s="27"/>
      <c r="H487" s="27"/>
      <c r="I487" s="27"/>
      <c r="J487" s="27"/>
    </row>
    <row r="488" ht="15" customHeight="1">
      <c r="A488" s="26">
        <v>482</v>
      </c>
      <c r="B488" s="26"/>
      <c r="C488" s="26"/>
      <c r="D488" s="26"/>
      <c r="E488" s="26"/>
      <c r="F488" s="26"/>
      <c r="G488" s="26"/>
      <c r="H488" s="26"/>
      <c r="I488" s="26"/>
      <c r="J488" s="26"/>
    </row>
    <row r="489" ht="15" customHeight="1">
      <c r="A489" s="27">
        <v>483</v>
      </c>
      <c r="B489" s="27"/>
      <c r="C489" s="27"/>
      <c r="D489" s="27"/>
      <c r="E489" s="27"/>
      <c r="F489" s="27"/>
      <c r="G489" s="27"/>
      <c r="H489" s="27"/>
      <c r="I489" s="27"/>
      <c r="J489" s="27"/>
    </row>
    <row r="490" ht="15" customHeight="1">
      <c r="A490" s="26">
        <v>484</v>
      </c>
      <c r="B490" s="26"/>
      <c r="C490" s="26"/>
      <c r="D490" s="26"/>
      <c r="E490" s="26"/>
      <c r="F490" s="26"/>
      <c r="G490" s="26"/>
      <c r="H490" s="26"/>
      <c r="I490" s="26"/>
      <c r="J490" s="26"/>
    </row>
    <row r="491" ht="15" customHeight="1">
      <c r="A491" s="27">
        <v>485</v>
      </c>
      <c r="B491" s="27"/>
      <c r="C491" s="27"/>
      <c r="D491" s="27"/>
      <c r="E491" s="27"/>
      <c r="F491" s="27"/>
      <c r="G491" s="27"/>
      <c r="H491" s="27"/>
      <c r="I491" s="27"/>
      <c r="J491" s="27"/>
    </row>
    <row r="492" ht="15" customHeight="1">
      <c r="A492" s="26">
        <v>486</v>
      </c>
      <c r="B492" s="26"/>
      <c r="C492" s="26"/>
      <c r="D492" s="26"/>
      <c r="E492" s="26"/>
      <c r="F492" s="26"/>
      <c r="G492" s="26"/>
      <c r="H492" s="26"/>
      <c r="I492" s="26"/>
      <c r="J492" s="26"/>
    </row>
    <row r="493" ht="15" customHeight="1">
      <c r="A493" s="27">
        <v>487</v>
      </c>
      <c r="B493" s="27"/>
      <c r="C493" s="27"/>
      <c r="D493" s="27"/>
      <c r="E493" s="27"/>
      <c r="F493" s="27"/>
      <c r="G493" s="27"/>
      <c r="H493" s="27"/>
      <c r="I493" s="27"/>
      <c r="J493" s="27"/>
    </row>
    <row r="494" ht="15" customHeight="1">
      <c r="A494" s="26">
        <v>488</v>
      </c>
      <c r="B494" s="26"/>
      <c r="C494" s="26"/>
      <c r="D494" s="26"/>
      <c r="E494" s="26"/>
      <c r="F494" s="26"/>
      <c r="G494" s="26"/>
      <c r="H494" s="26"/>
      <c r="I494" s="26"/>
      <c r="J494" s="26"/>
    </row>
    <row r="495" ht="15" customHeight="1">
      <c r="A495" s="27">
        <v>489</v>
      </c>
      <c r="B495" s="27"/>
      <c r="C495" s="27"/>
      <c r="D495" s="27"/>
      <c r="E495" s="27"/>
      <c r="F495" s="27"/>
      <c r="G495" s="27"/>
      <c r="H495" s="27"/>
      <c r="I495" s="27"/>
      <c r="J495" s="27"/>
    </row>
    <row r="496" ht="15" customHeight="1">
      <c r="A496" s="26">
        <v>490</v>
      </c>
      <c r="B496" s="26"/>
      <c r="C496" s="26"/>
      <c r="D496" s="26"/>
      <c r="E496" s="26"/>
      <c r="F496" s="26"/>
      <c r="G496" s="26"/>
      <c r="H496" s="26"/>
      <c r="I496" s="26"/>
      <c r="J496" s="26"/>
    </row>
    <row r="497" ht="15" customHeight="1">
      <c r="A497" s="27">
        <v>491</v>
      </c>
      <c r="B497" s="27"/>
      <c r="C497" s="27"/>
      <c r="D497" s="27"/>
      <c r="E497" s="27"/>
      <c r="F497" s="27"/>
      <c r="G497" s="27"/>
      <c r="H497" s="27"/>
      <c r="I497" s="27"/>
      <c r="J497" s="27"/>
    </row>
    <row r="498" ht="15" customHeight="1">
      <c r="A498" s="26">
        <v>492</v>
      </c>
      <c r="B498" s="26"/>
      <c r="C498" s="26"/>
      <c r="D498" s="26"/>
      <c r="E498" s="26"/>
      <c r="F498" s="26"/>
      <c r="G498" s="26"/>
      <c r="H498" s="26"/>
      <c r="I498" s="26"/>
      <c r="J498" s="26"/>
    </row>
    <row r="499" ht="15" customHeight="1">
      <c r="A499" s="27">
        <v>493</v>
      </c>
      <c r="B499" s="27"/>
      <c r="C499" s="27"/>
      <c r="D499" s="27"/>
      <c r="E499" s="27"/>
      <c r="F499" s="27"/>
      <c r="G499" s="27"/>
      <c r="H499" s="27"/>
      <c r="I499" s="27"/>
      <c r="J499" s="27"/>
    </row>
    <row r="500" ht="15" customHeight="1">
      <c r="A500" s="26">
        <v>494</v>
      </c>
      <c r="B500" s="26"/>
      <c r="C500" s="26"/>
      <c r="D500" s="26"/>
      <c r="E500" s="26"/>
      <c r="F500" s="26"/>
      <c r="G500" s="26"/>
      <c r="H500" s="26"/>
      <c r="I500" s="26"/>
      <c r="J500" s="26"/>
    </row>
    <row r="501" ht="15" customHeight="1">
      <c r="A501" s="27">
        <v>495</v>
      </c>
      <c r="B501" s="27"/>
      <c r="C501" s="27"/>
      <c r="D501" s="27"/>
      <c r="E501" s="27"/>
      <c r="F501" s="27"/>
      <c r="G501" s="27"/>
      <c r="H501" s="27"/>
      <c r="I501" s="27"/>
      <c r="J501" s="27"/>
    </row>
    <row r="502" ht="15" customHeight="1">
      <c r="A502" s="26">
        <v>496</v>
      </c>
      <c r="B502" s="26"/>
      <c r="C502" s="26"/>
      <c r="D502" s="26"/>
      <c r="E502" s="26"/>
      <c r="F502" s="26"/>
      <c r="G502" s="26"/>
      <c r="H502" s="26"/>
      <c r="I502" s="26"/>
      <c r="J502" s="26"/>
    </row>
    <row r="503" ht="15" customHeight="1">
      <c r="A503" s="27">
        <v>497</v>
      </c>
      <c r="B503" s="27"/>
      <c r="C503" s="27"/>
      <c r="D503" s="27"/>
      <c r="E503" s="27"/>
      <c r="F503" s="27"/>
      <c r="G503" s="27"/>
      <c r="H503" s="27"/>
      <c r="I503" s="27"/>
      <c r="J503" s="27"/>
    </row>
    <row r="504" ht="15" customHeight="1">
      <c r="A504" s="26">
        <v>498</v>
      </c>
      <c r="B504" s="26"/>
      <c r="C504" s="26"/>
      <c r="D504" s="26"/>
      <c r="E504" s="26"/>
      <c r="F504" s="26"/>
      <c r="G504" s="26"/>
      <c r="H504" s="26"/>
      <c r="I504" s="26"/>
      <c r="J504" s="26"/>
    </row>
    <row r="505" ht="15" customHeight="1">
      <c r="A505" s="27">
        <v>499</v>
      </c>
      <c r="B505" s="27"/>
      <c r="C505" s="27"/>
      <c r="D505" s="27"/>
      <c r="E505" s="27"/>
      <c r="F505" s="27"/>
      <c r="G505" s="27"/>
      <c r="H505" s="27"/>
      <c r="I505" s="27"/>
      <c r="J505" s="27"/>
    </row>
    <row r="506" ht="15" customHeight="1">
      <c r="A506" s="26">
        <v>500</v>
      </c>
      <c r="B506" s="26"/>
      <c r="C506" s="26"/>
      <c r="D506" s="26"/>
      <c r="E506" s="26"/>
      <c r="F506" s="26"/>
      <c r="G506" s="26"/>
      <c r="H506" s="26"/>
      <c r="I506" s="26"/>
      <c r="J506" s="26"/>
    </row>
    <row r="507" ht="15" customHeight="1">
      <c r="A507" s="27">
        <v>501</v>
      </c>
      <c r="B507" s="27"/>
      <c r="C507" s="27"/>
      <c r="D507" s="27"/>
      <c r="E507" s="27"/>
      <c r="F507" s="27"/>
      <c r="G507" s="27"/>
      <c r="H507" s="27"/>
      <c r="I507" s="27"/>
      <c r="J507" s="27"/>
    </row>
    <row r="508" ht="15" customHeight="1">
      <c r="A508" s="26">
        <v>502</v>
      </c>
      <c r="B508" s="26"/>
      <c r="C508" s="26"/>
      <c r="D508" s="26"/>
      <c r="E508" s="26"/>
      <c r="F508" s="26"/>
      <c r="G508" s="26"/>
      <c r="H508" s="26"/>
      <c r="I508" s="26"/>
      <c r="J508" s="26"/>
    </row>
    <row r="509" ht="15" customHeight="1">
      <c r="A509" s="27">
        <v>503</v>
      </c>
      <c r="B509" s="27"/>
      <c r="C509" s="27"/>
      <c r="D509" s="27"/>
      <c r="E509" s="27"/>
      <c r="F509" s="27"/>
      <c r="G509" s="27"/>
      <c r="H509" s="27"/>
      <c r="I509" s="27"/>
      <c r="J509" s="27"/>
    </row>
    <row r="510" ht="15" customHeight="1">
      <c r="A510" s="26">
        <v>504</v>
      </c>
      <c r="B510" s="26"/>
      <c r="C510" s="26"/>
      <c r="D510" s="26"/>
      <c r="E510" s="26"/>
      <c r="F510" s="26"/>
      <c r="G510" s="26"/>
      <c r="H510" s="26"/>
      <c r="I510" s="26"/>
      <c r="J510" s="26"/>
    </row>
    <row r="511" ht="15" customHeight="1">
      <c r="A511" s="27">
        <v>505</v>
      </c>
      <c r="B511" s="27"/>
      <c r="C511" s="27"/>
      <c r="D511" s="27"/>
      <c r="E511" s="27"/>
      <c r="F511" s="27"/>
      <c r="G511" s="27"/>
      <c r="H511" s="27"/>
      <c r="I511" s="27"/>
      <c r="J511" s="27"/>
    </row>
    <row r="512" ht="15" customHeight="1">
      <c r="A512" s="26">
        <v>506</v>
      </c>
      <c r="B512" s="26"/>
      <c r="C512" s="26"/>
      <c r="D512" s="26"/>
      <c r="E512" s="26"/>
      <c r="F512" s="26"/>
      <c r="G512" s="26"/>
      <c r="H512" s="26"/>
      <c r="I512" s="26"/>
      <c r="J512" s="26"/>
    </row>
    <row r="513" ht="15" customHeight="1">
      <c r="A513" s="27">
        <v>507</v>
      </c>
      <c r="B513" s="27"/>
      <c r="C513" s="27"/>
      <c r="D513" s="27"/>
      <c r="E513" s="27"/>
      <c r="F513" s="27"/>
      <c r="G513" s="27"/>
      <c r="H513" s="27"/>
      <c r="I513" s="27"/>
      <c r="J513" s="27"/>
    </row>
    <row r="514" ht="15" customHeight="1">
      <c r="A514" s="26">
        <v>508</v>
      </c>
      <c r="B514" s="26"/>
      <c r="C514" s="26"/>
      <c r="D514" s="26"/>
      <c r="E514" s="26"/>
      <c r="F514" s="26"/>
      <c r="G514" s="26"/>
      <c r="H514" s="26"/>
      <c r="I514" s="26"/>
      <c r="J514" s="26"/>
    </row>
    <row r="515" ht="15" customHeight="1">
      <c r="A515" s="27">
        <v>509</v>
      </c>
      <c r="B515" s="27"/>
      <c r="C515" s="27"/>
      <c r="D515" s="27"/>
      <c r="E515" s="27"/>
      <c r="F515" s="27"/>
      <c r="G515" s="27"/>
      <c r="H515" s="27"/>
      <c r="I515" s="27"/>
      <c r="J515" s="27"/>
    </row>
    <row r="516" ht="15" customHeight="1">
      <c r="A516" s="26">
        <v>510</v>
      </c>
      <c r="B516" s="26"/>
      <c r="C516" s="26"/>
      <c r="D516" s="26"/>
      <c r="E516" s="26"/>
      <c r="F516" s="26"/>
      <c r="G516" s="26"/>
      <c r="H516" s="26"/>
      <c r="I516" s="26"/>
      <c r="J516" s="26"/>
    </row>
    <row r="517" ht="15" customHeight="1">
      <c r="A517" s="27">
        <v>511</v>
      </c>
      <c r="B517" s="27"/>
      <c r="C517" s="27"/>
      <c r="D517" s="27"/>
      <c r="E517" s="27"/>
      <c r="F517" s="27"/>
      <c r="G517" s="27"/>
      <c r="H517" s="27"/>
      <c r="I517" s="27"/>
      <c r="J517" s="27"/>
    </row>
    <row r="518" ht="15" customHeight="1">
      <c r="A518" s="26">
        <v>512</v>
      </c>
      <c r="B518" s="26"/>
      <c r="C518" s="26"/>
      <c r="D518" s="26"/>
      <c r="E518" s="26"/>
      <c r="F518" s="26"/>
      <c r="G518" s="26"/>
      <c r="H518" s="26"/>
      <c r="I518" s="26"/>
      <c r="J518" s="26"/>
    </row>
    <row r="519" ht="15" customHeight="1">
      <c r="A519" s="27">
        <v>513</v>
      </c>
      <c r="B519" s="27"/>
      <c r="C519" s="27"/>
      <c r="D519" s="27"/>
      <c r="E519" s="27"/>
      <c r="F519" s="27"/>
      <c r="G519" s="27"/>
      <c r="H519" s="27"/>
      <c r="I519" s="27"/>
      <c r="J519" s="27"/>
    </row>
    <row r="520" ht="15" customHeight="1">
      <c r="A520" s="26">
        <v>514</v>
      </c>
      <c r="B520" s="26"/>
      <c r="C520" s="26"/>
      <c r="D520" s="26"/>
      <c r="E520" s="26"/>
      <c r="F520" s="26"/>
      <c r="G520" s="26"/>
      <c r="H520" s="26"/>
      <c r="I520" s="26"/>
      <c r="J520" s="26"/>
    </row>
    <row r="521" ht="15" customHeight="1">
      <c r="A521" s="27">
        <v>515</v>
      </c>
      <c r="B521" s="27"/>
      <c r="C521" s="27"/>
      <c r="D521" s="27"/>
      <c r="E521" s="27"/>
      <c r="F521" s="27"/>
      <c r="G521" s="27"/>
      <c r="H521" s="27"/>
      <c r="I521" s="27"/>
      <c r="J521" s="27"/>
    </row>
    <row r="522" ht="15" customHeight="1">
      <c r="A522" s="26">
        <v>516</v>
      </c>
      <c r="B522" s="26"/>
      <c r="C522" s="26"/>
      <c r="D522" s="26"/>
      <c r="E522" s="26"/>
      <c r="F522" s="26"/>
      <c r="G522" s="26"/>
      <c r="H522" s="26"/>
      <c r="I522" s="26"/>
      <c r="J522" s="26"/>
    </row>
    <row r="523" ht="15" customHeight="1">
      <c r="A523" s="27">
        <v>517</v>
      </c>
      <c r="B523" s="27"/>
      <c r="C523" s="27"/>
      <c r="D523" s="27"/>
      <c r="E523" s="27"/>
      <c r="F523" s="27"/>
      <c r="G523" s="27"/>
      <c r="H523" s="27"/>
      <c r="I523" s="27"/>
      <c r="J523" s="27"/>
    </row>
    <row r="524" ht="15" customHeight="1">
      <c r="A524" s="26">
        <v>518</v>
      </c>
      <c r="B524" s="26"/>
      <c r="C524" s="26"/>
      <c r="D524" s="26"/>
      <c r="E524" s="26"/>
      <c r="F524" s="26"/>
      <c r="G524" s="26"/>
      <c r="H524" s="26"/>
      <c r="I524" s="26"/>
      <c r="J524" s="26"/>
    </row>
    <row r="525" ht="15" customHeight="1">
      <c r="A525" s="27">
        <v>519</v>
      </c>
      <c r="B525" s="27"/>
      <c r="C525" s="27"/>
      <c r="D525" s="27"/>
      <c r="E525" s="27"/>
      <c r="F525" s="27"/>
      <c r="G525" s="27"/>
      <c r="H525" s="27"/>
      <c r="I525" s="27"/>
      <c r="J525" s="27"/>
    </row>
    <row r="526" ht="15" customHeight="1">
      <c r="A526" s="26">
        <v>520</v>
      </c>
      <c r="B526" s="26"/>
      <c r="C526" s="26"/>
      <c r="D526" s="26"/>
      <c r="E526" s="26"/>
      <c r="F526" s="26"/>
      <c r="G526" s="26"/>
      <c r="H526" s="26"/>
      <c r="I526" s="26"/>
      <c r="J526" s="26"/>
    </row>
    <row r="527" ht="15" customHeight="1">
      <c r="A527" s="27">
        <v>521</v>
      </c>
      <c r="B527" s="27"/>
      <c r="C527" s="27"/>
      <c r="D527" s="27"/>
      <c r="E527" s="27"/>
      <c r="F527" s="27"/>
      <c r="G527" s="27"/>
      <c r="H527" s="27"/>
      <c r="I527" s="27"/>
      <c r="J527" s="27"/>
    </row>
    <row r="528" ht="15" customHeight="1">
      <c r="A528" s="26">
        <v>522</v>
      </c>
      <c r="B528" s="26"/>
      <c r="C528" s="26"/>
      <c r="D528" s="26"/>
      <c r="E528" s="26"/>
      <c r="F528" s="26"/>
      <c r="G528" s="26"/>
      <c r="H528" s="26"/>
      <c r="I528" s="26"/>
      <c r="J528" s="26"/>
    </row>
    <row r="529" ht="15" customHeight="1">
      <c r="A529" s="27">
        <v>523</v>
      </c>
      <c r="B529" s="27"/>
      <c r="C529" s="27"/>
      <c r="D529" s="27"/>
      <c r="E529" s="27"/>
      <c r="F529" s="27"/>
      <c r="G529" s="27"/>
      <c r="H529" s="27"/>
      <c r="I529" s="27"/>
      <c r="J529" s="27"/>
    </row>
    <row r="530" ht="15" customHeight="1">
      <c r="A530" s="26">
        <v>524</v>
      </c>
      <c r="B530" s="26"/>
      <c r="C530" s="26"/>
      <c r="D530" s="26"/>
      <c r="E530" s="26"/>
      <c r="F530" s="26"/>
      <c r="G530" s="26"/>
      <c r="H530" s="26"/>
      <c r="I530" s="26"/>
      <c r="J530" s="26"/>
    </row>
    <row r="531" ht="15" customHeight="1">
      <c r="A531" s="27">
        <v>525</v>
      </c>
      <c r="B531" s="27"/>
      <c r="C531" s="27"/>
      <c r="D531" s="27"/>
      <c r="E531" s="27"/>
      <c r="F531" s="27"/>
      <c r="G531" s="27"/>
      <c r="H531" s="27"/>
      <c r="I531" s="27"/>
      <c r="J531" s="27"/>
    </row>
    <row r="532" ht="15" customHeight="1">
      <c r="A532" s="26">
        <v>526</v>
      </c>
      <c r="B532" s="26"/>
      <c r="C532" s="26"/>
      <c r="D532" s="26"/>
      <c r="E532" s="26"/>
      <c r="F532" s="26"/>
      <c r="G532" s="26"/>
      <c r="H532" s="26"/>
      <c r="I532" s="26"/>
      <c r="J532" s="26"/>
    </row>
    <row r="533" ht="15" customHeight="1">
      <c r="A533" s="27">
        <v>527</v>
      </c>
      <c r="B533" s="27"/>
      <c r="C533" s="27"/>
      <c r="D533" s="27"/>
      <c r="E533" s="27"/>
      <c r="F533" s="27"/>
      <c r="G533" s="27"/>
      <c r="H533" s="27"/>
      <c r="I533" s="27"/>
      <c r="J533" s="27"/>
    </row>
    <row r="534" ht="15" customHeight="1">
      <c r="A534" s="26">
        <v>528</v>
      </c>
      <c r="B534" s="26"/>
      <c r="C534" s="26"/>
      <c r="D534" s="26"/>
      <c r="E534" s="26"/>
      <c r="F534" s="26"/>
      <c r="G534" s="26"/>
      <c r="H534" s="26"/>
      <c r="I534" s="26"/>
      <c r="J534" s="26"/>
    </row>
    <row r="535" ht="15" customHeight="1">
      <c r="A535" s="27">
        <v>529</v>
      </c>
      <c r="B535" s="27"/>
      <c r="C535" s="27"/>
      <c r="D535" s="27"/>
      <c r="E535" s="27"/>
      <c r="F535" s="27"/>
      <c r="G535" s="27"/>
      <c r="H535" s="27"/>
      <c r="I535" s="27"/>
      <c r="J535" s="27"/>
    </row>
    <row r="536" ht="15" customHeight="1">
      <c r="A536" s="26">
        <v>530</v>
      </c>
      <c r="B536" s="26"/>
      <c r="C536" s="26"/>
      <c r="D536" s="26"/>
      <c r="E536" s="26"/>
      <c r="F536" s="26"/>
      <c r="G536" s="26"/>
      <c r="H536" s="26"/>
      <c r="I536" s="26"/>
      <c r="J536" s="26"/>
    </row>
    <row r="537" ht="15" customHeight="1">
      <c r="A537" s="27">
        <v>531</v>
      </c>
      <c r="B537" s="27"/>
      <c r="C537" s="27"/>
      <c r="D537" s="27"/>
      <c r="E537" s="27"/>
      <c r="F537" s="27"/>
      <c r="G537" s="27"/>
      <c r="H537" s="27"/>
      <c r="I537" s="27"/>
      <c r="J537" s="27"/>
    </row>
    <row r="538" ht="15" customHeight="1">
      <c r="A538" s="26">
        <v>532</v>
      </c>
      <c r="B538" s="26"/>
      <c r="C538" s="26"/>
      <c r="D538" s="26"/>
      <c r="E538" s="26"/>
      <c r="F538" s="26"/>
      <c r="G538" s="26"/>
      <c r="H538" s="26"/>
      <c r="I538" s="26"/>
      <c r="J538" s="26"/>
    </row>
    <row r="539" ht="15" customHeight="1">
      <c r="A539" s="27">
        <v>533</v>
      </c>
      <c r="B539" s="27"/>
      <c r="C539" s="27"/>
      <c r="D539" s="27"/>
      <c r="E539" s="27"/>
      <c r="F539" s="27"/>
      <c r="G539" s="27"/>
      <c r="H539" s="27"/>
      <c r="I539" s="27"/>
      <c r="J539" s="27"/>
    </row>
    <row r="540" ht="15" customHeight="1">
      <c r="A540" s="26">
        <v>534</v>
      </c>
      <c r="B540" s="26"/>
      <c r="C540" s="26"/>
      <c r="D540" s="26"/>
      <c r="E540" s="26"/>
      <c r="F540" s="26"/>
      <c r="G540" s="26"/>
      <c r="H540" s="26"/>
      <c r="I540" s="26"/>
      <c r="J540" s="26"/>
    </row>
    <row r="541" ht="15" customHeight="1">
      <c r="A541" s="27">
        <v>535</v>
      </c>
      <c r="B541" s="27"/>
      <c r="C541" s="27"/>
      <c r="D541" s="27"/>
      <c r="E541" s="27"/>
      <c r="F541" s="27"/>
      <c r="G541" s="27"/>
      <c r="H541" s="27"/>
      <c r="I541" s="27"/>
      <c r="J541" s="27"/>
    </row>
    <row r="542" ht="15" customHeight="1">
      <c r="A542" s="26">
        <v>536</v>
      </c>
      <c r="B542" s="26"/>
      <c r="C542" s="26"/>
      <c r="D542" s="26"/>
      <c r="E542" s="26"/>
      <c r="F542" s="26"/>
      <c r="G542" s="26"/>
      <c r="H542" s="26"/>
      <c r="I542" s="26"/>
      <c r="J542" s="26"/>
    </row>
    <row r="543" ht="15" customHeight="1">
      <c r="A543" s="27">
        <v>537</v>
      </c>
      <c r="B543" s="27"/>
      <c r="C543" s="27"/>
      <c r="D543" s="27"/>
      <c r="E543" s="27"/>
      <c r="F543" s="27"/>
      <c r="G543" s="27"/>
      <c r="H543" s="27"/>
      <c r="I543" s="27"/>
      <c r="J543" s="27"/>
    </row>
    <row r="544" ht="15" customHeight="1">
      <c r="A544" s="26">
        <v>538</v>
      </c>
      <c r="B544" s="26"/>
      <c r="C544" s="26"/>
      <c r="D544" s="26"/>
      <c r="E544" s="26"/>
      <c r="F544" s="26"/>
      <c r="G544" s="26"/>
      <c r="H544" s="26"/>
      <c r="I544" s="26"/>
      <c r="J544" s="26"/>
    </row>
    <row r="545" ht="15" customHeight="1">
      <c r="A545" s="27">
        <v>539</v>
      </c>
      <c r="B545" s="27"/>
      <c r="C545" s="27"/>
      <c r="D545" s="27"/>
      <c r="E545" s="27"/>
      <c r="F545" s="27"/>
      <c r="G545" s="27"/>
      <c r="H545" s="27"/>
      <c r="I545" s="27"/>
      <c r="J545" s="27"/>
    </row>
    <row r="546" ht="15" customHeight="1">
      <c r="A546" s="26">
        <v>540</v>
      </c>
      <c r="B546" s="26"/>
      <c r="C546" s="26"/>
      <c r="D546" s="26"/>
      <c r="E546" s="26"/>
      <c r="F546" s="26"/>
      <c r="G546" s="26"/>
      <c r="H546" s="26"/>
      <c r="I546" s="26"/>
      <c r="J546" s="26"/>
    </row>
    <row r="547" ht="15" customHeight="1">
      <c r="A547" s="27">
        <v>541</v>
      </c>
      <c r="B547" s="27"/>
      <c r="C547" s="27"/>
      <c r="D547" s="27"/>
      <c r="E547" s="27"/>
      <c r="F547" s="27"/>
      <c r="G547" s="27"/>
      <c r="H547" s="27"/>
      <c r="I547" s="27"/>
      <c r="J547" s="27"/>
    </row>
    <row r="548" ht="15" customHeight="1">
      <c r="A548" s="26">
        <v>542</v>
      </c>
      <c r="B548" s="26"/>
      <c r="C548" s="26"/>
      <c r="D548" s="26"/>
      <c r="E548" s="26"/>
      <c r="F548" s="26"/>
      <c r="G548" s="26"/>
      <c r="H548" s="26"/>
      <c r="I548" s="26"/>
      <c r="J548" s="26"/>
    </row>
    <row r="549" ht="15" customHeight="1">
      <c r="A549" s="27">
        <v>543</v>
      </c>
      <c r="B549" s="27"/>
      <c r="C549" s="27"/>
      <c r="D549" s="27"/>
      <c r="E549" s="27"/>
      <c r="F549" s="27"/>
      <c r="G549" s="27"/>
      <c r="H549" s="27"/>
      <c r="I549" s="27"/>
      <c r="J549" s="27"/>
    </row>
    <row r="550" ht="15" customHeight="1">
      <c r="A550" s="26">
        <v>544</v>
      </c>
      <c r="B550" s="26"/>
      <c r="C550" s="26"/>
      <c r="D550" s="26"/>
      <c r="E550" s="26"/>
      <c r="F550" s="26"/>
      <c r="G550" s="26"/>
      <c r="H550" s="26"/>
      <c r="I550" s="26"/>
      <c r="J550" s="26"/>
    </row>
    <row r="551" ht="15" customHeight="1">
      <c r="A551" s="27">
        <v>545</v>
      </c>
      <c r="B551" s="27"/>
      <c r="C551" s="27"/>
      <c r="D551" s="27"/>
      <c r="E551" s="27"/>
      <c r="F551" s="27"/>
      <c r="G551" s="27"/>
      <c r="H551" s="27"/>
      <c r="I551" s="27"/>
      <c r="J551" s="27"/>
    </row>
    <row r="552" ht="15" customHeight="1">
      <c r="A552" s="26">
        <v>546</v>
      </c>
      <c r="B552" s="26"/>
      <c r="C552" s="26"/>
      <c r="D552" s="26"/>
      <c r="E552" s="26"/>
      <c r="F552" s="26"/>
      <c r="G552" s="26"/>
      <c r="H552" s="26"/>
      <c r="I552" s="26"/>
      <c r="J552" s="26"/>
    </row>
    <row r="553" ht="15" customHeight="1">
      <c r="A553" s="27">
        <v>547</v>
      </c>
      <c r="B553" s="27"/>
      <c r="C553" s="27"/>
      <c r="D553" s="27"/>
      <c r="E553" s="27"/>
      <c r="F553" s="27"/>
      <c r="G553" s="27"/>
      <c r="H553" s="27"/>
      <c r="I553" s="27"/>
      <c r="J553" s="27"/>
    </row>
    <row r="554" ht="15" customHeight="1">
      <c r="A554" s="26">
        <v>548</v>
      </c>
      <c r="B554" s="26"/>
      <c r="C554" s="26"/>
      <c r="D554" s="26"/>
      <c r="E554" s="26"/>
      <c r="F554" s="26"/>
      <c r="G554" s="26"/>
      <c r="H554" s="26"/>
      <c r="I554" s="26"/>
      <c r="J554" s="26"/>
    </row>
    <row r="555" ht="15" customHeight="1">
      <c r="A555" s="27">
        <v>549</v>
      </c>
      <c r="B555" s="27"/>
      <c r="C555" s="27"/>
      <c r="D555" s="27"/>
      <c r="E555" s="27"/>
      <c r="F555" s="27"/>
      <c r="G555" s="27"/>
      <c r="H555" s="27"/>
      <c r="I555" s="27"/>
      <c r="J555" s="27"/>
    </row>
    <row r="556" ht="15" customHeight="1">
      <c r="A556" s="26">
        <v>550</v>
      </c>
      <c r="B556" s="26"/>
      <c r="C556" s="26"/>
      <c r="D556" s="26"/>
      <c r="E556" s="26"/>
      <c r="F556" s="26"/>
      <c r="G556" s="26"/>
      <c r="H556" s="26"/>
      <c r="I556" s="26"/>
      <c r="J556" s="26"/>
    </row>
    <row r="557" ht="15" customHeight="1">
      <c r="A557" s="27">
        <v>551</v>
      </c>
      <c r="B557" s="27"/>
      <c r="C557" s="27"/>
      <c r="D557" s="27"/>
      <c r="E557" s="27"/>
      <c r="F557" s="27"/>
      <c r="G557" s="27"/>
      <c r="H557" s="27"/>
      <c r="I557" s="27"/>
      <c r="J557" s="27"/>
    </row>
    <row r="558" ht="15" customHeight="1">
      <c r="A558" s="26">
        <v>552</v>
      </c>
      <c r="B558" s="26"/>
      <c r="C558" s="26"/>
      <c r="D558" s="26"/>
      <c r="E558" s="26"/>
      <c r="F558" s="26"/>
      <c r="G558" s="26"/>
      <c r="H558" s="26"/>
      <c r="I558" s="26"/>
      <c r="J558" s="26"/>
    </row>
    <row r="559" ht="15" customHeight="1">
      <c r="A559" s="27">
        <v>553</v>
      </c>
      <c r="B559" s="27"/>
      <c r="C559" s="27"/>
      <c r="D559" s="27"/>
      <c r="E559" s="27"/>
      <c r="F559" s="27"/>
      <c r="G559" s="27"/>
      <c r="H559" s="27"/>
      <c r="I559" s="27"/>
      <c r="J559" s="27"/>
    </row>
    <row r="560" ht="15" customHeight="1">
      <c r="A560" s="26">
        <v>554</v>
      </c>
      <c r="B560" s="26"/>
      <c r="C560" s="26"/>
      <c r="D560" s="26"/>
      <c r="E560" s="26"/>
      <c r="F560" s="26"/>
      <c r="G560" s="26"/>
      <c r="H560" s="26"/>
      <c r="I560" s="26"/>
      <c r="J560" s="26"/>
    </row>
    <row r="561" ht="15" customHeight="1">
      <c r="A561" s="27">
        <v>555</v>
      </c>
      <c r="B561" s="27"/>
      <c r="C561" s="27"/>
      <c r="D561" s="27"/>
      <c r="E561" s="27"/>
      <c r="F561" s="27"/>
      <c r="G561" s="27"/>
      <c r="H561" s="27"/>
      <c r="I561" s="27"/>
      <c r="J561" s="27"/>
    </row>
    <row r="562" ht="15" customHeight="1">
      <c r="A562" s="26">
        <v>556</v>
      </c>
      <c r="B562" s="26"/>
      <c r="C562" s="26"/>
      <c r="D562" s="26"/>
      <c r="E562" s="26"/>
      <c r="F562" s="26"/>
      <c r="G562" s="26"/>
      <c r="H562" s="26"/>
      <c r="I562" s="26"/>
      <c r="J562" s="26"/>
    </row>
    <row r="563" ht="15" customHeight="1">
      <c r="A563" s="27">
        <v>557</v>
      </c>
      <c r="B563" s="27"/>
      <c r="C563" s="27"/>
      <c r="D563" s="27"/>
      <c r="E563" s="27"/>
      <c r="F563" s="27"/>
      <c r="G563" s="27"/>
      <c r="H563" s="27"/>
      <c r="I563" s="27"/>
      <c r="J563" s="27"/>
    </row>
    <row r="564" ht="15" customHeight="1">
      <c r="A564" s="26">
        <v>558</v>
      </c>
      <c r="B564" s="26"/>
      <c r="C564" s="26"/>
      <c r="D564" s="26"/>
      <c r="E564" s="26"/>
      <c r="F564" s="26"/>
      <c r="G564" s="26"/>
      <c r="H564" s="26"/>
      <c r="I564" s="26"/>
      <c r="J564" s="26"/>
    </row>
    <row r="565" ht="15" customHeight="1">
      <c r="A565" s="27">
        <v>559</v>
      </c>
      <c r="B565" s="27"/>
      <c r="C565" s="27"/>
      <c r="D565" s="27"/>
      <c r="E565" s="27"/>
      <c r="F565" s="27"/>
      <c r="G565" s="27"/>
      <c r="H565" s="27"/>
      <c r="I565" s="27"/>
      <c r="J565" s="27"/>
    </row>
    <row r="566" ht="15" customHeight="1">
      <c r="A566" s="26">
        <v>560</v>
      </c>
      <c r="B566" s="26"/>
      <c r="C566" s="26"/>
      <c r="D566" s="26"/>
      <c r="E566" s="26"/>
      <c r="F566" s="26"/>
      <c r="G566" s="26"/>
      <c r="H566" s="26"/>
      <c r="I566" s="26"/>
      <c r="J566" s="26"/>
    </row>
    <row r="567" ht="15" customHeight="1">
      <c r="A567" s="27">
        <v>561</v>
      </c>
      <c r="B567" s="27"/>
      <c r="C567" s="27"/>
      <c r="D567" s="27"/>
      <c r="E567" s="27"/>
      <c r="F567" s="27"/>
      <c r="G567" s="27"/>
      <c r="H567" s="27"/>
      <c r="I567" s="27"/>
      <c r="J567" s="27"/>
    </row>
    <row r="568" ht="15" customHeight="1">
      <c r="A568" s="26">
        <v>562</v>
      </c>
      <c r="B568" s="26"/>
      <c r="C568" s="26"/>
      <c r="D568" s="26"/>
      <c r="E568" s="26"/>
      <c r="F568" s="26"/>
      <c r="G568" s="26"/>
      <c r="H568" s="26"/>
      <c r="I568" s="26"/>
      <c r="J568" s="26"/>
    </row>
    <row r="569" ht="15" customHeight="1">
      <c r="A569" s="27">
        <v>563</v>
      </c>
      <c r="B569" s="27"/>
      <c r="C569" s="27"/>
      <c r="D569" s="27"/>
      <c r="E569" s="27"/>
      <c r="F569" s="27"/>
      <c r="G569" s="27"/>
      <c r="H569" s="27"/>
      <c r="I569" s="27"/>
      <c r="J569" s="27"/>
    </row>
    <row r="570" ht="15" customHeight="1">
      <c r="A570" s="26">
        <v>564</v>
      </c>
      <c r="B570" s="26"/>
      <c r="C570" s="26"/>
      <c r="D570" s="26"/>
      <c r="E570" s="26"/>
      <c r="F570" s="26"/>
      <c r="G570" s="26"/>
      <c r="H570" s="26"/>
      <c r="I570" s="26"/>
      <c r="J570" s="26"/>
    </row>
    <row r="571" ht="15" customHeight="1">
      <c r="A571" s="27">
        <v>565</v>
      </c>
      <c r="B571" s="27"/>
      <c r="C571" s="27"/>
      <c r="D571" s="27"/>
      <c r="E571" s="27"/>
      <c r="F571" s="27"/>
      <c r="G571" s="27"/>
      <c r="H571" s="27"/>
      <c r="I571" s="27"/>
      <c r="J571" s="27"/>
    </row>
    <row r="572" ht="15" customHeight="1">
      <c r="A572" s="26">
        <v>566</v>
      </c>
      <c r="B572" s="26"/>
      <c r="C572" s="26"/>
      <c r="D572" s="26"/>
      <c r="E572" s="26"/>
      <c r="F572" s="26"/>
      <c r="G572" s="26"/>
      <c r="H572" s="26"/>
      <c r="I572" s="26"/>
      <c r="J572" s="26"/>
    </row>
    <row r="573" ht="15" customHeight="1">
      <c r="A573" s="27">
        <v>567</v>
      </c>
      <c r="B573" s="27"/>
      <c r="C573" s="27"/>
      <c r="D573" s="27"/>
      <c r="E573" s="27"/>
      <c r="F573" s="27"/>
      <c r="G573" s="27"/>
      <c r="H573" s="27"/>
      <c r="I573" s="27"/>
      <c r="J573" s="27"/>
    </row>
    <row r="574" ht="15" customHeight="1">
      <c r="A574" s="26">
        <v>568</v>
      </c>
      <c r="B574" s="26"/>
      <c r="C574" s="26"/>
      <c r="D574" s="26"/>
      <c r="E574" s="26"/>
      <c r="F574" s="26"/>
      <c r="G574" s="26"/>
      <c r="H574" s="26"/>
      <c r="I574" s="26"/>
      <c r="J574" s="26"/>
    </row>
    <row r="575" ht="15" customHeight="1">
      <c r="A575" s="27">
        <v>569</v>
      </c>
      <c r="B575" s="27"/>
      <c r="C575" s="27"/>
      <c r="D575" s="27"/>
      <c r="E575" s="27"/>
      <c r="F575" s="27"/>
      <c r="G575" s="27"/>
      <c r="H575" s="27"/>
      <c r="I575" s="27"/>
      <c r="J575" s="27"/>
    </row>
    <row r="576" ht="15" customHeight="1">
      <c r="A576" s="26">
        <v>570</v>
      </c>
      <c r="B576" s="26"/>
      <c r="C576" s="26"/>
      <c r="D576" s="26"/>
      <c r="E576" s="26"/>
      <c r="F576" s="26"/>
      <c r="G576" s="26"/>
      <c r="H576" s="26"/>
      <c r="I576" s="26"/>
      <c r="J576" s="26"/>
    </row>
    <row r="577" ht="15" customHeight="1">
      <c r="A577" s="27">
        <v>571</v>
      </c>
      <c r="B577" s="27"/>
      <c r="C577" s="27"/>
      <c r="D577" s="27"/>
      <c r="E577" s="27"/>
      <c r="F577" s="27"/>
      <c r="G577" s="27"/>
      <c r="H577" s="27"/>
      <c r="I577" s="27"/>
      <c r="J577" s="27"/>
    </row>
    <row r="578" ht="15" customHeight="1">
      <c r="A578" s="26">
        <v>572</v>
      </c>
      <c r="B578" s="26"/>
      <c r="C578" s="26"/>
      <c r="D578" s="26"/>
      <c r="E578" s="26"/>
      <c r="F578" s="26"/>
      <c r="G578" s="26"/>
      <c r="H578" s="26"/>
      <c r="I578" s="26"/>
      <c r="J578" s="26"/>
    </row>
    <row r="579" ht="15" customHeight="1">
      <c r="A579" s="27">
        <v>573</v>
      </c>
      <c r="B579" s="27"/>
      <c r="C579" s="27"/>
      <c r="D579" s="27"/>
      <c r="E579" s="27"/>
      <c r="F579" s="27"/>
      <c r="G579" s="27"/>
      <c r="H579" s="27"/>
      <c r="I579" s="27"/>
      <c r="J579" s="27"/>
    </row>
    <row r="580" ht="15" customHeight="1">
      <c r="A580" s="26">
        <v>574</v>
      </c>
      <c r="B580" s="26"/>
      <c r="C580" s="26"/>
      <c r="D580" s="26"/>
      <c r="E580" s="26"/>
      <c r="F580" s="26"/>
      <c r="G580" s="26"/>
      <c r="H580" s="26"/>
      <c r="I580" s="26"/>
      <c r="J580" s="26"/>
    </row>
    <row r="581" ht="15" customHeight="1">
      <c r="A581" s="27">
        <v>575</v>
      </c>
      <c r="B581" s="27"/>
      <c r="C581" s="27"/>
      <c r="D581" s="27"/>
      <c r="E581" s="27"/>
      <c r="F581" s="27"/>
      <c r="G581" s="27"/>
      <c r="H581" s="27"/>
      <c r="I581" s="27"/>
      <c r="J581" s="27"/>
    </row>
    <row r="582" ht="15" customHeight="1">
      <c r="A582" s="26">
        <v>576</v>
      </c>
      <c r="B582" s="26"/>
      <c r="C582" s="26"/>
      <c r="D582" s="26"/>
      <c r="E582" s="26"/>
      <c r="F582" s="26"/>
      <c r="G582" s="26"/>
      <c r="H582" s="26"/>
      <c r="I582" s="26"/>
      <c r="J582" s="26"/>
    </row>
    <row r="583" ht="15" customHeight="1">
      <c r="A583" s="27">
        <v>577</v>
      </c>
      <c r="B583" s="27"/>
      <c r="C583" s="27"/>
      <c r="D583" s="27"/>
      <c r="E583" s="27"/>
      <c r="F583" s="27"/>
      <c r="G583" s="27"/>
      <c r="H583" s="27"/>
      <c r="I583" s="27"/>
      <c r="J583" s="27"/>
    </row>
    <row r="584" ht="15" customHeight="1">
      <c r="A584" s="26">
        <v>578</v>
      </c>
      <c r="B584" s="26"/>
      <c r="C584" s="26"/>
      <c r="D584" s="26"/>
      <c r="E584" s="26"/>
      <c r="F584" s="26"/>
      <c r="G584" s="26"/>
      <c r="H584" s="26"/>
      <c r="I584" s="26"/>
      <c r="J584" s="26"/>
    </row>
    <row r="585" ht="15" customHeight="1">
      <c r="A585" s="27">
        <v>579</v>
      </c>
      <c r="B585" s="27"/>
      <c r="C585" s="27"/>
      <c r="D585" s="27"/>
      <c r="E585" s="27"/>
      <c r="F585" s="27"/>
      <c r="G585" s="27"/>
      <c r="H585" s="27"/>
      <c r="I585" s="27"/>
      <c r="J585" s="27"/>
    </row>
    <row r="586" ht="15" customHeight="1">
      <c r="A586" s="26">
        <v>580</v>
      </c>
      <c r="B586" s="26"/>
      <c r="C586" s="26"/>
      <c r="D586" s="26"/>
      <c r="E586" s="26"/>
      <c r="F586" s="26"/>
      <c r="G586" s="26"/>
      <c r="H586" s="26"/>
      <c r="I586" s="26"/>
      <c r="J586" s="26"/>
    </row>
    <row r="587" ht="15" customHeight="1">
      <c r="A587" s="27">
        <v>581</v>
      </c>
      <c r="B587" s="27"/>
      <c r="C587" s="27"/>
      <c r="D587" s="27"/>
      <c r="E587" s="27"/>
      <c r="F587" s="27"/>
      <c r="G587" s="27"/>
      <c r="H587" s="27"/>
      <c r="I587" s="27"/>
      <c r="J587" s="27"/>
    </row>
    <row r="588" ht="15" customHeight="1">
      <c r="A588" s="26">
        <v>582</v>
      </c>
      <c r="B588" s="26"/>
      <c r="C588" s="26"/>
      <c r="D588" s="26"/>
      <c r="E588" s="26"/>
      <c r="F588" s="26"/>
      <c r="G588" s="26"/>
      <c r="H588" s="26"/>
      <c r="I588" s="26"/>
      <c r="J588" s="26"/>
    </row>
    <row r="589" ht="15" customHeight="1">
      <c r="A589" s="27">
        <v>583</v>
      </c>
      <c r="B589" s="27"/>
      <c r="C589" s="27"/>
      <c r="D589" s="27"/>
      <c r="E589" s="27"/>
      <c r="F589" s="27"/>
      <c r="G589" s="27"/>
      <c r="H589" s="27"/>
      <c r="I589" s="27"/>
      <c r="J589" s="27"/>
    </row>
    <row r="590" ht="15" customHeight="1">
      <c r="A590" s="26">
        <v>584</v>
      </c>
      <c r="B590" s="26"/>
      <c r="C590" s="26"/>
      <c r="D590" s="26"/>
      <c r="E590" s="26"/>
      <c r="F590" s="26"/>
      <c r="G590" s="26"/>
      <c r="H590" s="26"/>
      <c r="I590" s="26"/>
      <c r="J590" s="26"/>
    </row>
    <row r="591" ht="15" customHeight="1">
      <c r="A591" s="27">
        <v>585</v>
      </c>
      <c r="B591" s="27"/>
      <c r="C591" s="27"/>
      <c r="D591" s="27"/>
      <c r="E591" s="27"/>
      <c r="F591" s="27"/>
      <c r="G591" s="27"/>
      <c r="H591" s="27"/>
      <c r="I591" s="27"/>
      <c r="J591" s="27"/>
    </row>
    <row r="592" ht="15" customHeight="1">
      <c r="A592" s="26">
        <v>586</v>
      </c>
      <c r="B592" s="26"/>
      <c r="C592" s="26"/>
      <c r="D592" s="26"/>
      <c r="E592" s="26"/>
      <c r="F592" s="26"/>
      <c r="G592" s="26"/>
      <c r="H592" s="26"/>
      <c r="I592" s="26"/>
      <c r="J592" s="26"/>
    </row>
    <row r="593" ht="15" customHeight="1">
      <c r="A593" s="27">
        <v>587</v>
      </c>
      <c r="B593" s="27"/>
      <c r="C593" s="27"/>
      <c r="D593" s="27"/>
      <c r="E593" s="27"/>
      <c r="F593" s="27"/>
      <c r="G593" s="27"/>
      <c r="H593" s="27"/>
      <c r="I593" s="27"/>
      <c r="J593" s="27"/>
    </row>
    <row r="594" ht="15" customHeight="1">
      <c r="A594" s="26">
        <v>588</v>
      </c>
      <c r="B594" s="26"/>
      <c r="C594" s="26"/>
      <c r="D594" s="26"/>
      <c r="E594" s="26"/>
      <c r="F594" s="26"/>
      <c r="G594" s="26"/>
      <c r="H594" s="26"/>
      <c r="I594" s="26"/>
      <c r="J594" s="26"/>
    </row>
    <row r="595" ht="15" customHeight="1">
      <c r="A595" s="27">
        <v>589</v>
      </c>
      <c r="B595" s="27"/>
      <c r="C595" s="27"/>
      <c r="D595" s="27"/>
      <c r="E595" s="27"/>
      <c r="F595" s="27"/>
      <c r="G595" s="27"/>
      <c r="H595" s="27"/>
      <c r="I595" s="27"/>
      <c r="J595" s="27"/>
    </row>
    <row r="596" ht="15" customHeight="1">
      <c r="A596" s="26">
        <v>590</v>
      </c>
      <c r="B596" s="26"/>
      <c r="C596" s="26"/>
      <c r="D596" s="26"/>
      <c r="E596" s="26"/>
      <c r="F596" s="26"/>
      <c r="G596" s="26"/>
      <c r="H596" s="26"/>
      <c r="I596" s="26"/>
      <c r="J596" s="26"/>
    </row>
    <row r="597" ht="15" customHeight="1">
      <c r="A597" s="27">
        <v>591</v>
      </c>
      <c r="B597" s="27"/>
      <c r="C597" s="27"/>
      <c r="D597" s="27"/>
      <c r="E597" s="27"/>
      <c r="F597" s="27"/>
      <c r="G597" s="27"/>
      <c r="H597" s="27"/>
      <c r="I597" s="27"/>
      <c r="J597" s="27"/>
    </row>
    <row r="598" ht="15" customHeight="1">
      <c r="A598" s="26">
        <v>592</v>
      </c>
      <c r="B598" s="26"/>
      <c r="C598" s="26"/>
      <c r="D598" s="26"/>
      <c r="E598" s="26"/>
      <c r="F598" s="26"/>
      <c r="G598" s="26"/>
      <c r="H598" s="26"/>
      <c r="I598" s="26"/>
      <c r="J598" s="26"/>
    </row>
    <row r="599" ht="15" customHeight="1">
      <c r="A599" s="27">
        <v>593</v>
      </c>
      <c r="B599" s="27"/>
      <c r="C599" s="27"/>
      <c r="D599" s="27"/>
      <c r="E599" s="27"/>
      <c r="F599" s="27"/>
      <c r="G599" s="27"/>
      <c r="H599" s="27"/>
      <c r="I599" s="27"/>
      <c r="J599" s="27"/>
    </row>
    <row r="600" ht="15" customHeight="1">
      <c r="A600" s="26">
        <v>594</v>
      </c>
      <c r="B600" s="26"/>
      <c r="C600" s="26"/>
      <c r="D600" s="26"/>
      <c r="E600" s="26"/>
      <c r="F600" s="26"/>
      <c r="G600" s="26"/>
      <c r="H600" s="26"/>
      <c r="I600" s="26"/>
      <c r="J600" s="26"/>
    </row>
    <row r="601" ht="15" customHeight="1">
      <c r="A601" s="27">
        <v>595</v>
      </c>
      <c r="B601" s="27"/>
      <c r="C601" s="27"/>
      <c r="D601" s="27"/>
      <c r="E601" s="27"/>
      <c r="F601" s="27"/>
      <c r="G601" s="27"/>
      <c r="H601" s="27"/>
      <c r="I601" s="27"/>
      <c r="J601" s="27"/>
    </row>
    <row r="602" ht="15" customHeight="1">
      <c r="A602" s="26">
        <v>596</v>
      </c>
      <c r="B602" s="26"/>
      <c r="C602" s="26"/>
      <c r="D602" s="26"/>
      <c r="E602" s="26"/>
      <c r="F602" s="26"/>
      <c r="G602" s="26"/>
      <c r="H602" s="26"/>
      <c r="I602" s="26"/>
      <c r="J602" s="26"/>
    </row>
    <row r="603" ht="15" customHeight="1">
      <c r="A603" s="27">
        <v>597</v>
      </c>
      <c r="B603" s="27"/>
      <c r="C603" s="27"/>
      <c r="D603" s="27"/>
      <c r="E603" s="27"/>
      <c r="F603" s="27"/>
      <c r="G603" s="27"/>
      <c r="H603" s="27"/>
      <c r="I603" s="27"/>
      <c r="J603" s="27"/>
    </row>
    <row r="604" ht="15" customHeight="1">
      <c r="A604" s="26">
        <v>598</v>
      </c>
      <c r="B604" s="26"/>
      <c r="C604" s="26"/>
      <c r="D604" s="26"/>
      <c r="E604" s="26"/>
      <c r="F604" s="26"/>
      <c r="G604" s="26"/>
      <c r="H604" s="26"/>
      <c r="I604" s="26"/>
      <c r="J604" s="26"/>
    </row>
    <row r="605" ht="15" customHeight="1">
      <c r="A605" s="27">
        <v>599</v>
      </c>
      <c r="B605" s="27"/>
      <c r="C605" s="27"/>
      <c r="D605" s="27"/>
      <c r="E605" s="27"/>
      <c r="F605" s="27"/>
      <c r="G605" s="27"/>
      <c r="H605" s="27"/>
      <c r="I605" s="27"/>
      <c r="J605" s="27"/>
    </row>
    <row r="606" ht="15" customHeight="1">
      <c r="A606" s="26">
        <v>600</v>
      </c>
      <c r="B606" s="26"/>
      <c r="C606" s="26"/>
      <c r="D606" s="26"/>
      <c r="E606" s="26"/>
      <c r="F606" s="26"/>
      <c r="G606" s="26"/>
      <c r="H606" s="26"/>
      <c r="I606" s="26"/>
      <c r="J606" s="26"/>
    </row>
    <row r="607" ht="15" customHeight="1">
      <c r="A607" s="27">
        <v>601</v>
      </c>
      <c r="B607" s="27"/>
      <c r="C607" s="27"/>
      <c r="D607" s="27"/>
      <c r="E607" s="27"/>
      <c r="F607" s="27"/>
      <c r="G607" s="27"/>
      <c r="H607" s="27"/>
      <c r="I607" s="27"/>
      <c r="J607" s="27"/>
    </row>
    <row r="608" ht="15" customHeight="1">
      <c r="A608" s="26">
        <v>602</v>
      </c>
      <c r="B608" s="26"/>
      <c r="C608" s="26"/>
      <c r="D608" s="26"/>
      <c r="E608" s="26"/>
      <c r="F608" s="26"/>
      <c r="G608" s="26"/>
      <c r="H608" s="26"/>
      <c r="I608" s="26"/>
      <c r="J608" s="26"/>
    </row>
    <row r="609" ht="15" customHeight="1">
      <c r="A609" s="27">
        <v>603</v>
      </c>
      <c r="B609" s="27"/>
      <c r="C609" s="27"/>
      <c r="D609" s="27"/>
      <c r="E609" s="27"/>
      <c r="F609" s="27"/>
      <c r="G609" s="27"/>
      <c r="H609" s="27"/>
      <c r="I609" s="27"/>
      <c r="J609" s="27"/>
    </row>
    <row r="610" ht="15" customHeight="1">
      <c r="A610" s="26">
        <v>604</v>
      </c>
      <c r="B610" s="26"/>
      <c r="C610" s="26"/>
      <c r="D610" s="26"/>
      <c r="E610" s="26"/>
      <c r="F610" s="26"/>
      <c r="G610" s="26"/>
      <c r="H610" s="26"/>
      <c r="I610" s="26"/>
      <c r="J610" s="26"/>
    </row>
    <row r="611" ht="15" customHeight="1">
      <c r="A611" s="27">
        <v>605</v>
      </c>
      <c r="B611" s="27"/>
      <c r="C611" s="27"/>
      <c r="D611" s="27"/>
      <c r="E611" s="27"/>
      <c r="F611" s="27"/>
      <c r="G611" s="27"/>
      <c r="H611" s="27"/>
      <c r="I611" s="27"/>
      <c r="J611" s="27"/>
    </row>
    <row r="612" ht="15" customHeight="1">
      <c r="A612" s="26">
        <v>606</v>
      </c>
      <c r="B612" s="26"/>
      <c r="C612" s="26"/>
      <c r="D612" s="26"/>
      <c r="E612" s="26"/>
      <c r="F612" s="26"/>
      <c r="G612" s="26"/>
      <c r="H612" s="26"/>
      <c r="I612" s="26"/>
      <c r="J612" s="26"/>
    </row>
    <row r="613" ht="15" customHeight="1">
      <c r="A613" s="27">
        <v>607</v>
      </c>
      <c r="B613" s="27"/>
      <c r="C613" s="27"/>
      <c r="D613" s="27"/>
      <c r="E613" s="27"/>
      <c r="F613" s="27"/>
      <c r="G613" s="27"/>
      <c r="H613" s="27"/>
      <c r="I613" s="27"/>
      <c r="J613" s="27"/>
    </row>
    <row r="614" ht="15" customHeight="1">
      <c r="A614" s="26">
        <v>608</v>
      </c>
      <c r="B614" s="26"/>
      <c r="C614" s="26"/>
      <c r="D614" s="26"/>
      <c r="E614" s="26"/>
      <c r="F614" s="26"/>
      <c r="G614" s="26"/>
      <c r="H614" s="26"/>
      <c r="I614" s="26"/>
      <c r="J614" s="26"/>
    </row>
    <row r="615" ht="15" customHeight="1">
      <c r="A615" s="27">
        <v>609</v>
      </c>
      <c r="B615" s="27"/>
      <c r="C615" s="27"/>
      <c r="D615" s="27"/>
      <c r="E615" s="27"/>
      <c r="F615" s="27"/>
      <c r="G615" s="27"/>
      <c r="H615" s="27"/>
      <c r="I615" s="27"/>
      <c r="J615" s="27"/>
    </row>
    <row r="616" ht="15" customHeight="1">
      <c r="A616" s="26">
        <v>610</v>
      </c>
      <c r="B616" s="26"/>
      <c r="C616" s="26"/>
      <c r="D616" s="26"/>
      <c r="E616" s="26"/>
      <c r="F616" s="26"/>
      <c r="G616" s="26"/>
      <c r="H616" s="26"/>
      <c r="I616" s="26"/>
      <c r="J616" s="26"/>
    </row>
    <row r="617" ht="15" customHeight="1">
      <c r="A617" s="27">
        <v>611</v>
      </c>
      <c r="B617" s="27"/>
      <c r="C617" s="27"/>
      <c r="D617" s="27"/>
      <c r="E617" s="27"/>
      <c r="F617" s="27"/>
      <c r="G617" s="27"/>
      <c r="H617" s="27"/>
      <c r="I617" s="27"/>
      <c r="J617" s="27"/>
    </row>
    <row r="618" ht="15" customHeight="1">
      <c r="A618" s="26">
        <v>612</v>
      </c>
      <c r="B618" s="26"/>
      <c r="C618" s="26"/>
      <c r="D618" s="26"/>
      <c r="E618" s="26"/>
      <c r="F618" s="26"/>
      <c r="G618" s="26"/>
      <c r="H618" s="26"/>
      <c r="I618" s="26"/>
      <c r="J618" s="26"/>
    </row>
    <row r="619" ht="15" customHeight="1">
      <c r="A619" s="27">
        <v>613</v>
      </c>
      <c r="B619" s="27"/>
      <c r="C619" s="27"/>
      <c r="D619" s="27"/>
      <c r="E619" s="27"/>
      <c r="F619" s="27"/>
      <c r="G619" s="27"/>
      <c r="H619" s="27"/>
      <c r="I619" s="27"/>
      <c r="J619" s="27"/>
    </row>
    <row r="620" ht="15" customHeight="1">
      <c r="A620" s="26">
        <v>614</v>
      </c>
      <c r="B620" s="26"/>
      <c r="C620" s="26"/>
      <c r="D620" s="26"/>
      <c r="E620" s="26"/>
      <c r="F620" s="26"/>
      <c r="G620" s="26"/>
      <c r="H620" s="26"/>
      <c r="I620" s="26"/>
      <c r="J620" s="26"/>
    </row>
    <row r="621" ht="15" customHeight="1">
      <c r="A621" s="27">
        <v>615</v>
      </c>
      <c r="B621" s="27"/>
      <c r="C621" s="27"/>
      <c r="D621" s="27"/>
      <c r="E621" s="27"/>
      <c r="F621" s="27"/>
      <c r="G621" s="27"/>
      <c r="H621" s="27"/>
      <c r="I621" s="27"/>
      <c r="J621" s="27"/>
    </row>
    <row r="622" ht="15" customHeight="1">
      <c r="A622" s="26">
        <v>616</v>
      </c>
      <c r="B622" s="26"/>
      <c r="C622" s="26"/>
      <c r="D622" s="26"/>
      <c r="E622" s="26"/>
      <c r="F622" s="26"/>
      <c r="G622" s="26"/>
      <c r="H622" s="26"/>
      <c r="I622" s="26"/>
      <c r="J622" s="26"/>
    </row>
    <row r="623" ht="15" customHeight="1">
      <c r="A623" s="27">
        <v>617</v>
      </c>
      <c r="B623" s="27"/>
      <c r="C623" s="27"/>
      <c r="D623" s="27"/>
      <c r="E623" s="27"/>
      <c r="F623" s="27"/>
      <c r="G623" s="27"/>
      <c r="H623" s="27"/>
      <c r="I623" s="27"/>
      <c r="J623" s="27"/>
    </row>
    <row r="624" ht="15" customHeight="1">
      <c r="A624" s="26">
        <v>618</v>
      </c>
      <c r="B624" s="26"/>
      <c r="C624" s="26"/>
      <c r="D624" s="26"/>
      <c r="E624" s="26"/>
      <c r="F624" s="26"/>
      <c r="G624" s="26"/>
      <c r="H624" s="26"/>
      <c r="I624" s="26"/>
      <c r="J624" s="26"/>
    </row>
    <row r="625" ht="15" customHeight="1">
      <c r="A625" s="27">
        <v>619</v>
      </c>
      <c r="B625" s="27"/>
      <c r="C625" s="27"/>
      <c r="D625" s="27"/>
      <c r="E625" s="27"/>
      <c r="F625" s="27"/>
      <c r="G625" s="27"/>
      <c r="H625" s="27"/>
      <c r="I625" s="27"/>
      <c r="J625" s="27"/>
    </row>
    <row r="626" ht="15" customHeight="1">
      <c r="A626" s="26">
        <v>620</v>
      </c>
      <c r="B626" s="26"/>
      <c r="C626" s="26"/>
      <c r="D626" s="26"/>
      <c r="E626" s="26"/>
      <c r="F626" s="26"/>
      <c r="G626" s="26"/>
      <c r="H626" s="26"/>
      <c r="I626" s="26"/>
      <c r="J626" s="26"/>
    </row>
    <row r="627" ht="15" customHeight="1">
      <c r="A627" s="27">
        <v>621</v>
      </c>
      <c r="B627" s="27"/>
      <c r="C627" s="27"/>
      <c r="D627" s="27"/>
      <c r="E627" s="27"/>
      <c r="F627" s="27"/>
      <c r="G627" s="27"/>
      <c r="H627" s="27"/>
      <c r="I627" s="27"/>
      <c r="J627" s="27"/>
    </row>
    <row r="628" ht="15" customHeight="1">
      <c r="A628" s="26">
        <v>622</v>
      </c>
      <c r="B628" s="26"/>
      <c r="C628" s="26"/>
      <c r="D628" s="26"/>
      <c r="E628" s="26"/>
      <c r="F628" s="26"/>
      <c r="G628" s="26"/>
      <c r="H628" s="26"/>
      <c r="I628" s="26"/>
      <c r="J628" s="26"/>
    </row>
    <row r="629" ht="15" customHeight="1">
      <c r="A629" s="27">
        <v>623</v>
      </c>
      <c r="B629" s="27"/>
      <c r="C629" s="27"/>
      <c r="D629" s="27"/>
      <c r="E629" s="27"/>
      <c r="F629" s="27"/>
      <c r="G629" s="27"/>
      <c r="H629" s="27"/>
      <c r="I629" s="27"/>
      <c r="J629" s="27"/>
    </row>
    <row r="630" ht="15" customHeight="1">
      <c r="A630" s="26">
        <v>624</v>
      </c>
      <c r="B630" s="26"/>
      <c r="C630" s="26"/>
      <c r="D630" s="26"/>
      <c r="E630" s="26"/>
      <c r="F630" s="26"/>
      <c r="G630" s="26"/>
      <c r="H630" s="26"/>
      <c r="I630" s="26"/>
      <c r="J630" s="26"/>
    </row>
    <row r="631" ht="15" customHeight="1">
      <c r="A631" s="27">
        <v>625</v>
      </c>
      <c r="B631" s="27"/>
      <c r="C631" s="27"/>
      <c r="D631" s="27"/>
      <c r="E631" s="27"/>
      <c r="F631" s="27"/>
      <c r="G631" s="27"/>
      <c r="H631" s="27"/>
      <c r="I631" s="27"/>
      <c r="J631" s="27"/>
    </row>
    <row r="632" ht="15" customHeight="1">
      <c r="A632" s="26">
        <v>626</v>
      </c>
      <c r="B632" s="26"/>
      <c r="C632" s="26"/>
      <c r="D632" s="26"/>
      <c r="E632" s="26"/>
      <c r="F632" s="26"/>
      <c r="G632" s="26"/>
      <c r="H632" s="26"/>
      <c r="I632" s="26"/>
      <c r="J632" s="26"/>
    </row>
    <row r="633" ht="15" customHeight="1">
      <c r="A633" s="27">
        <v>627</v>
      </c>
      <c r="B633" s="27"/>
      <c r="C633" s="27"/>
      <c r="D633" s="27"/>
      <c r="E633" s="27"/>
      <c r="F633" s="27"/>
      <c r="G633" s="27"/>
      <c r="H633" s="27"/>
      <c r="I633" s="27"/>
      <c r="J633" s="27"/>
    </row>
    <row r="634" ht="15" customHeight="1">
      <c r="A634" s="26">
        <v>628</v>
      </c>
      <c r="B634" s="26"/>
      <c r="C634" s="26"/>
      <c r="D634" s="26"/>
      <c r="E634" s="26"/>
      <c r="F634" s="26"/>
      <c r="G634" s="26"/>
      <c r="H634" s="26"/>
      <c r="I634" s="26"/>
      <c r="J634" s="26"/>
    </row>
    <row r="635" ht="15" customHeight="1">
      <c r="A635" s="27">
        <v>629</v>
      </c>
      <c r="B635" s="27"/>
      <c r="C635" s="27"/>
      <c r="D635" s="27"/>
      <c r="E635" s="27"/>
      <c r="F635" s="27"/>
      <c r="G635" s="27"/>
      <c r="H635" s="27"/>
      <c r="I635" s="27"/>
      <c r="J635" s="27"/>
    </row>
    <row r="636" ht="15" customHeight="1">
      <c r="A636" s="26">
        <v>630</v>
      </c>
      <c r="B636" s="26"/>
      <c r="C636" s="26"/>
      <c r="D636" s="26"/>
      <c r="E636" s="26"/>
      <c r="F636" s="26"/>
      <c r="G636" s="26"/>
      <c r="H636" s="26"/>
      <c r="I636" s="26"/>
      <c r="J636" s="26"/>
    </row>
    <row r="637" ht="15" customHeight="1">
      <c r="A637" s="27">
        <v>631</v>
      </c>
      <c r="B637" s="27"/>
      <c r="C637" s="27"/>
      <c r="D637" s="27"/>
      <c r="E637" s="27"/>
      <c r="F637" s="27"/>
      <c r="G637" s="27"/>
      <c r="H637" s="27"/>
      <c r="I637" s="27"/>
      <c r="J637" s="27"/>
    </row>
    <row r="638" ht="15" customHeight="1">
      <c r="A638" s="26">
        <v>632</v>
      </c>
      <c r="B638" s="26"/>
      <c r="C638" s="26"/>
      <c r="D638" s="26"/>
      <c r="E638" s="26"/>
      <c r="F638" s="26"/>
      <c r="G638" s="26"/>
      <c r="H638" s="26"/>
      <c r="I638" s="26"/>
      <c r="J638" s="26"/>
    </row>
    <row r="639" ht="15" customHeight="1">
      <c r="A639" s="27">
        <v>633</v>
      </c>
      <c r="B639" s="27"/>
      <c r="C639" s="27"/>
      <c r="D639" s="27"/>
      <c r="E639" s="27"/>
      <c r="F639" s="27"/>
      <c r="G639" s="27"/>
      <c r="H639" s="27"/>
      <c r="I639" s="27"/>
      <c r="J639" s="27"/>
    </row>
    <row r="640" ht="15" customHeight="1">
      <c r="A640" s="26">
        <v>634</v>
      </c>
      <c r="B640" s="26"/>
      <c r="C640" s="26"/>
      <c r="D640" s="26"/>
      <c r="E640" s="26"/>
      <c r="F640" s="26"/>
      <c r="G640" s="26"/>
      <c r="H640" s="26"/>
      <c r="I640" s="26"/>
      <c r="J640" s="26"/>
    </row>
    <row r="641" ht="15" customHeight="1">
      <c r="A641" s="27">
        <v>635</v>
      </c>
      <c r="B641" s="27"/>
      <c r="C641" s="27"/>
      <c r="D641" s="27"/>
      <c r="E641" s="27"/>
      <c r="F641" s="27"/>
      <c r="G641" s="27"/>
      <c r="H641" s="27"/>
      <c r="I641" s="27"/>
      <c r="J641" s="27"/>
    </row>
    <row r="642" ht="15" customHeight="1">
      <c r="A642" s="26">
        <v>636</v>
      </c>
      <c r="B642" s="26"/>
      <c r="C642" s="26"/>
      <c r="D642" s="26"/>
      <c r="E642" s="26"/>
      <c r="F642" s="26"/>
      <c r="G642" s="26"/>
      <c r="H642" s="26"/>
      <c r="I642" s="26"/>
      <c r="J642" s="26"/>
    </row>
    <row r="643" ht="15" customHeight="1">
      <c r="A643" s="27">
        <v>637</v>
      </c>
      <c r="B643" s="27"/>
      <c r="C643" s="27"/>
      <c r="D643" s="27"/>
      <c r="E643" s="27"/>
      <c r="F643" s="27"/>
      <c r="G643" s="27"/>
      <c r="H643" s="27"/>
      <c r="I643" s="27"/>
      <c r="J643" s="27"/>
    </row>
    <row r="644" ht="15" customHeight="1">
      <c r="A644" s="26">
        <v>638</v>
      </c>
      <c r="B644" s="26"/>
      <c r="C644" s="26"/>
      <c r="D644" s="26"/>
      <c r="E644" s="26"/>
      <c r="F644" s="26"/>
      <c r="G644" s="26"/>
      <c r="H644" s="26"/>
      <c r="I644" s="26"/>
      <c r="J644" s="26"/>
    </row>
    <row r="645" ht="15" customHeight="1">
      <c r="A645" s="27">
        <v>639</v>
      </c>
      <c r="B645" s="27"/>
      <c r="C645" s="27"/>
      <c r="D645" s="27"/>
      <c r="E645" s="27"/>
      <c r="F645" s="27"/>
      <c r="G645" s="27"/>
      <c r="H645" s="27"/>
      <c r="I645" s="27"/>
      <c r="J645" s="27"/>
    </row>
    <row r="646" ht="15" customHeight="1">
      <c r="A646" s="26">
        <v>640</v>
      </c>
      <c r="B646" s="26"/>
      <c r="C646" s="26"/>
      <c r="D646" s="26"/>
      <c r="E646" s="26"/>
      <c r="F646" s="26"/>
      <c r="G646" s="26"/>
      <c r="H646" s="26"/>
      <c r="I646" s="26"/>
      <c r="J646" s="26"/>
    </row>
    <row r="647" ht="15" customHeight="1">
      <c r="A647" s="27">
        <v>641</v>
      </c>
      <c r="B647" s="27"/>
      <c r="C647" s="27"/>
      <c r="D647" s="27"/>
      <c r="E647" s="27"/>
      <c r="F647" s="27"/>
      <c r="G647" s="27"/>
      <c r="H647" s="27"/>
      <c r="I647" s="27"/>
      <c r="J647" s="27"/>
    </row>
    <row r="648" ht="15" customHeight="1">
      <c r="A648" s="26">
        <v>642</v>
      </c>
      <c r="B648" s="26"/>
      <c r="C648" s="26"/>
      <c r="D648" s="26"/>
      <c r="E648" s="26"/>
      <c r="F648" s="26"/>
      <c r="G648" s="26"/>
      <c r="H648" s="26"/>
      <c r="I648" s="26"/>
      <c r="J648" s="26"/>
    </row>
    <row r="649" ht="15" customHeight="1">
      <c r="A649" s="27">
        <v>643</v>
      </c>
      <c r="B649" s="27"/>
      <c r="C649" s="27"/>
      <c r="D649" s="27"/>
      <c r="E649" s="27"/>
      <c r="F649" s="27"/>
      <c r="G649" s="27"/>
      <c r="H649" s="27"/>
      <c r="I649" s="27"/>
      <c r="J649" s="27"/>
    </row>
    <row r="650" ht="15" customHeight="1">
      <c r="A650" s="26">
        <v>644</v>
      </c>
      <c r="B650" s="26"/>
      <c r="C650" s="26"/>
      <c r="D650" s="26"/>
      <c r="E650" s="26"/>
      <c r="F650" s="26"/>
      <c r="G650" s="26"/>
      <c r="H650" s="26"/>
      <c r="I650" s="26"/>
      <c r="J650" s="26"/>
    </row>
    <row r="651" ht="15" customHeight="1">
      <c r="A651" s="27">
        <v>645</v>
      </c>
      <c r="B651" s="27"/>
      <c r="C651" s="27"/>
      <c r="D651" s="27"/>
      <c r="E651" s="27"/>
      <c r="F651" s="27"/>
      <c r="G651" s="27"/>
      <c r="H651" s="27"/>
      <c r="I651" s="27"/>
      <c r="J651" s="27"/>
    </row>
    <row r="652" ht="15" customHeight="1">
      <c r="A652" s="26">
        <v>646</v>
      </c>
      <c r="B652" s="26"/>
      <c r="C652" s="26"/>
      <c r="D652" s="26"/>
      <c r="E652" s="26"/>
      <c r="F652" s="26"/>
      <c r="G652" s="26"/>
      <c r="H652" s="26"/>
      <c r="I652" s="26"/>
      <c r="J652" s="26"/>
    </row>
    <row r="653" ht="15" customHeight="1">
      <c r="A653" s="27">
        <v>647</v>
      </c>
      <c r="B653" s="27"/>
      <c r="C653" s="27"/>
      <c r="D653" s="27"/>
      <c r="E653" s="27"/>
      <c r="F653" s="27"/>
      <c r="G653" s="27"/>
      <c r="H653" s="27"/>
      <c r="I653" s="27"/>
      <c r="J653" s="27"/>
    </row>
    <row r="654" ht="15" customHeight="1">
      <c r="A654" s="26">
        <v>648</v>
      </c>
      <c r="B654" s="26"/>
      <c r="C654" s="26"/>
      <c r="D654" s="26"/>
      <c r="E654" s="26"/>
      <c r="F654" s="26"/>
      <c r="G654" s="26"/>
      <c r="H654" s="26"/>
      <c r="I654" s="26"/>
      <c r="J654" s="26"/>
    </row>
    <row r="655" ht="15" customHeight="1">
      <c r="A655" s="27">
        <v>649</v>
      </c>
      <c r="B655" s="27"/>
      <c r="C655" s="27"/>
      <c r="D655" s="27"/>
      <c r="E655" s="27"/>
      <c r="F655" s="27"/>
      <c r="G655" s="27"/>
      <c r="H655" s="27"/>
      <c r="I655" s="27"/>
      <c r="J655" s="27"/>
    </row>
    <row r="656" ht="15" customHeight="1">
      <c r="A656" s="26">
        <v>650</v>
      </c>
      <c r="B656" s="26"/>
      <c r="C656" s="26"/>
      <c r="D656" s="26"/>
      <c r="E656" s="26"/>
      <c r="F656" s="26"/>
      <c r="G656" s="26"/>
      <c r="H656" s="26"/>
      <c r="I656" s="26"/>
      <c r="J656" s="26"/>
    </row>
    <row r="657" ht="15" customHeight="1">
      <c r="A657" s="27">
        <v>651</v>
      </c>
      <c r="B657" s="27"/>
      <c r="C657" s="27"/>
      <c r="D657" s="27"/>
      <c r="E657" s="27"/>
      <c r="F657" s="27"/>
      <c r="G657" s="27"/>
      <c r="H657" s="27"/>
      <c r="I657" s="27"/>
      <c r="J657" s="27"/>
    </row>
    <row r="658" ht="15" customHeight="1">
      <c r="A658" s="26">
        <v>652</v>
      </c>
      <c r="B658" s="26"/>
      <c r="C658" s="26"/>
      <c r="D658" s="26"/>
      <c r="E658" s="26"/>
      <c r="F658" s="26"/>
      <c r="G658" s="26"/>
      <c r="H658" s="26"/>
      <c r="I658" s="26"/>
      <c r="J658" s="26"/>
    </row>
    <row r="659" ht="15" customHeight="1">
      <c r="A659" s="27">
        <v>653</v>
      </c>
      <c r="B659" s="27"/>
      <c r="C659" s="27"/>
      <c r="D659" s="27"/>
      <c r="E659" s="27"/>
      <c r="F659" s="27"/>
      <c r="G659" s="27"/>
      <c r="H659" s="27"/>
      <c r="I659" s="27"/>
      <c r="J659" s="27"/>
    </row>
    <row r="660" ht="15" customHeight="1">
      <c r="A660" s="26">
        <v>654</v>
      </c>
      <c r="B660" s="26"/>
      <c r="C660" s="26"/>
      <c r="D660" s="26"/>
      <c r="E660" s="26"/>
      <c r="F660" s="26"/>
      <c r="G660" s="26"/>
      <c r="H660" s="26"/>
      <c r="I660" s="26"/>
      <c r="J660" s="26"/>
    </row>
    <row r="661" ht="15" customHeight="1">
      <c r="A661" s="27">
        <v>655</v>
      </c>
      <c r="B661" s="27"/>
      <c r="C661" s="27"/>
      <c r="D661" s="27"/>
      <c r="E661" s="27"/>
      <c r="F661" s="27"/>
      <c r="G661" s="27"/>
      <c r="H661" s="27"/>
      <c r="I661" s="27"/>
      <c r="J661" s="27"/>
    </row>
    <row r="662" ht="15" customHeight="1">
      <c r="A662" s="26">
        <v>656</v>
      </c>
      <c r="B662" s="26"/>
      <c r="C662" s="26"/>
      <c r="D662" s="26"/>
      <c r="E662" s="26"/>
      <c r="F662" s="26"/>
      <c r="G662" s="26"/>
      <c r="H662" s="26"/>
      <c r="I662" s="26"/>
      <c r="J662" s="26"/>
    </row>
    <row r="663" ht="15" customHeight="1">
      <c r="A663" s="27">
        <v>657</v>
      </c>
      <c r="B663" s="27"/>
      <c r="C663" s="27"/>
      <c r="D663" s="27"/>
      <c r="E663" s="27"/>
      <c r="F663" s="27"/>
      <c r="G663" s="27"/>
      <c r="H663" s="27"/>
      <c r="I663" s="27"/>
      <c r="J663" s="27"/>
    </row>
    <row r="664" ht="15" customHeight="1">
      <c r="A664" s="26">
        <v>658</v>
      </c>
      <c r="B664" s="26"/>
      <c r="C664" s="26"/>
      <c r="D664" s="26"/>
      <c r="E664" s="26"/>
      <c r="F664" s="26"/>
      <c r="G664" s="26"/>
      <c r="H664" s="26"/>
      <c r="I664" s="26"/>
      <c r="J664" s="26"/>
    </row>
    <row r="665" ht="15" customHeight="1">
      <c r="A665" s="27">
        <v>659</v>
      </c>
      <c r="B665" s="27"/>
      <c r="C665" s="27"/>
      <c r="D665" s="27"/>
      <c r="E665" s="27"/>
      <c r="F665" s="27"/>
      <c r="G665" s="27"/>
      <c r="H665" s="27"/>
      <c r="I665" s="27"/>
      <c r="J665" s="27"/>
    </row>
    <row r="666" ht="15" customHeight="1">
      <c r="A666" s="26">
        <v>660</v>
      </c>
      <c r="B666" s="26"/>
      <c r="C666" s="26"/>
      <c r="D666" s="26"/>
      <c r="E666" s="26"/>
      <c r="F666" s="26"/>
      <c r="G666" s="26"/>
      <c r="H666" s="26"/>
      <c r="I666" s="26"/>
      <c r="J666" s="26"/>
    </row>
    <row r="667" ht="15" customHeight="1">
      <c r="A667" s="27">
        <v>661</v>
      </c>
      <c r="B667" s="27"/>
      <c r="C667" s="27"/>
      <c r="D667" s="27"/>
      <c r="E667" s="27"/>
      <c r="F667" s="27"/>
      <c r="G667" s="27"/>
      <c r="H667" s="27"/>
      <c r="I667" s="27"/>
      <c r="J667" s="27"/>
    </row>
    <row r="668" ht="15" customHeight="1">
      <c r="A668" s="26">
        <v>662</v>
      </c>
      <c r="B668" s="26"/>
      <c r="C668" s="26"/>
      <c r="D668" s="26"/>
      <c r="E668" s="26"/>
      <c r="F668" s="26"/>
      <c r="G668" s="26"/>
      <c r="H668" s="26"/>
      <c r="I668" s="26"/>
      <c r="J668" s="26"/>
    </row>
    <row r="669" ht="15" customHeight="1">
      <c r="A669" s="27">
        <v>663</v>
      </c>
      <c r="B669" s="27"/>
      <c r="C669" s="27"/>
      <c r="D669" s="27"/>
      <c r="E669" s="27"/>
      <c r="F669" s="27"/>
      <c r="G669" s="27"/>
      <c r="H669" s="27"/>
      <c r="I669" s="27"/>
      <c r="J669" s="27"/>
    </row>
    <row r="670" ht="15" customHeight="1">
      <c r="A670" s="26">
        <v>664</v>
      </c>
      <c r="B670" s="26"/>
      <c r="C670" s="26"/>
      <c r="D670" s="26"/>
      <c r="E670" s="26"/>
      <c r="F670" s="26"/>
      <c r="G670" s="26"/>
      <c r="H670" s="26"/>
      <c r="I670" s="26"/>
      <c r="J670" s="26"/>
    </row>
    <row r="671" ht="15" customHeight="1">
      <c r="A671" s="27">
        <v>665</v>
      </c>
      <c r="B671" s="27"/>
      <c r="C671" s="27"/>
      <c r="D671" s="27"/>
      <c r="E671" s="27"/>
      <c r="F671" s="27"/>
      <c r="G671" s="27"/>
      <c r="H671" s="27"/>
      <c r="I671" s="27"/>
      <c r="J671" s="27"/>
    </row>
    <row r="672" ht="15" customHeight="1">
      <c r="A672" s="26">
        <v>666</v>
      </c>
      <c r="B672" s="26"/>
      <c r="C672" s="26"/>
      <c r="D672" s="26"/>
      <c r="E672" s="26"/>
      <c r="F672" s="26"/>
      <c r="G672" s="26"/>
      <c r="H672" s="26"/>
      <c r="I672" s="26"/>
      <c r="J672" s="26"/>
    </row>
    <row r="673" ht="15" customHeight="1">
      <c r="A673" s="27">
        <v>667</v>
      </c>
      <c r="B673" s="27"/>
      <c r="C673" s="27"/>
      <c r="D673" s="27"/>
      <c r="E673" s="27"/>
      <c r="F673" s="27"/>
      <c r="G673" s="27"/>
      <c r="H673" s="27"/>
      <c r="I673" s="27"/>
      <c r="J673" s="27"/>
    </row>
    <row r="674" ht="15" customHeight="1">
      <c r="A674" s="26">
        <v>668</v>
      </c>
      <c r="B674" s="26"/>
      <c r="C674" s="26"/>
      <c r="D674" s="26"/>
      <c r="E674" s="26"/>
      <c r="F674" s="26"/>
      <c r="G674" s="26"/>
      <c r="H674" s="26"/>
      <c r="I674" s="26"/>
      <c r="J674" s="26"/>
    </row>
    <row r="675" ht="15" customHeight="1">
      <c r="A675" s="27">
        <v>669</v>
      </c>
      <c r="B675" s="27"/>
      <c r="C675" s="27"/>
      <c r="D675" s="27"/>
      <c r="E675" s="27"/>
      <c r="F675" s="27"/>
      <c r="G675" s="27"/>
      <c r="H675" s="27"/>
      <c r="I675" s="27"/>
      <c r="J675" s="27"/>
    </row>
    <row r="676" ht="15" customHeight="1">
      <c r="A676" s="26">
        <v>670</v>
      </c>
      <c r="B676" s="26"/>
      <c r="C676" s="26"/>
      <c r="D676" s="26"/>
      <c r="E676" s="26"/>
      <c r="F676" s="26"/>
      <c r="G676" s="26"/>
      <c r="H676" s="26"/>
      <c r="I676" s="26"/>
      <c r="J676" s="26"/>
    </row>
    <row r="677" ht="15" customHeight="1">
      <c r="A677" s="27">
        <v>671</v>
      </c>
      <c r="B677" s="27"/>
      <c r="C677" s="27"/>
      <c r="D677" s="27"/>
      <c r="E677" s="27"/>
      <c r="F677" s="27"/>
      <c r="G677" s="27"/>
      <c r="H677" s="27"/>
      <c r="I677" s="27"/>
      <c r="J677" s="27"/>
    </row>
    <row r="678" ht="15" customHeight="1">
      <c r="A678" s="26">
        <v>672</v>
      </c>
      <c r="B678" s="26"/>
      <c r="C678" s="26"/>
      <c r="D678" s="26"/>
      <c r="E678" s="26"/>
      <c r="F678" s="26"/>
      <c r="G678" s="26"/>
      <c r="H678" s="26"/>
      <c r="I678" s="26"/>
      <c r="J678" s="26"/>
    </row>
    <row r="679" ht="15" customHeight="1">
      <c r="A679" s="27">
        <v>673</v>
      </c>
      <c r="B679" s="27"/>
      <c r="C679" s="27"/>
      <c r="D679" s="27"/>
      <c r="E679" s="27"/>
      <c r="F679" s="27"/>
      <c r="G679" s="27"/>
      <c r="H679" s="27"/>
      <c r="I679" s="27"/>
      <c r="J679" s="27"/>
    </row>
    <row r="680" ht="15" customHeight="1">
      <c r="A680" s="26">
        <v>674</v>
      </c>
      <c r="B680" s="26"/>
      <c r="C680" s="26"/>
      <c r="D680" s="26"/>
      <c r="E680" s="26"/>
      <c r="F680" s="26"/>
      <c r="G680" s="26"/>
      <c r="H680" s="26"/>
      <c r="I680" s="26"/>
      <c r="J680" s="26"/>
    </row>
    <row r="681" ht="15" customHeight="1">
      <c r="A681" s="27">
        <v>675</v>
      </c>
      <c r="B681" s="27"/>
      <c r="C681" s="27"/>
      <c r="D681" s="27"/>
      <c r="E681" s="27"/>
      <c r="F681" s="27"/>
      <c r="G681" s="27"/>
      <c r="H681" s="27"/>
      <c r="I681" s="27"/>
      <c r="J681" s="27"/>
    </row>
    <row r="682" ht="15" customHeight="1">
      <c r="A682" s="26">
        <v>676</v>
      </c>
      <c r="B682" s="26"/>
      <c r="C682" s="26"/>
      <c r="D682" s="26"/>
      <c r="E682" s="26"/>
      <c r="F682" s="26"/>
      <c r="G682" s="26"/>
      <c r="H682" s="26"/>
      <c r="I682" s="26"/>
      <c r="J682" s="26"/>
    </row>
    <row r="683" ht="15" customHeight="1">
      <c r="A683" s="27">
        <v>677</v>
      </c>
      <c r="B683" s="27"/>
      <c r="C683" s="27"/>
      <c r="D683" s="27"/>
      <c r="E683" s="27"/>
      <c r="F683" s="27"/>
      <c r="G683" s="27"/>
      <c r="H683" s="27"/>
      <c r="I683" s="27"/>
      <c r="J683" s="27"/>
    </row>
    <row r="684" ht="15" customHeight="1">
      <c r="A684" s="26">
        <v>678</v>
      </c>
      <c r="B684" s="26"/>
      <c r="C684" s="26"/>
      <c r="D684" s="26"/>
      <c r="E684" s="26"/>
      <c r="F684" s="26"/>
      <c r="G684" s="26"/>
      <c r="H684" s="26"/>
      <c r="I684" s="26"/>
      <c r="J684" s="26"/>
    </row>
    <row r="685" ht="15" customHeight="1">
      <c r="A685" s="27">
        <v>679</v>
      </c>
      <c r="B685" s="27"/>
      <c r="C685" s="27"/>
      <c r="D685" s="27"/>
      <c r="E685" s="27"/>
      <c r="F685" s="27"/>
      <c r="G685" s="27"/>
      <c r="H685" s="27"/>
      <c r="I685" s="27"/>
      <c r="J685" s="27"/>
    </row>
    <row r="686" ht="15" customHeight="1">
      <c r="A686" s="26">
        <v>680</v>
      </c>
      <c r="B686" s="26"/>
      <c r="C686" s="26"/>
      <c r="D686" s="26"/>
      <c r="E686" s="26"/>
      <c r="F686" s="26"/>
      <c r="G686" s="26"/>
      <c r="H686" s="26"/>
      <c r="I686" s="26"/>
      <c r="J686" s="26"/>
    </row>
    <row r="687" ht="15" customHeight="1">
      <c r="A687" s="27">
        <v>681</v>
      </c>
      <c r="B687" s="27"/>
      <c r="C687" s="27"/>
      <c r="D687" s="27"/>
      <c r="E687" s="27"/>
      <c r="F687" s="27"/>
      <c r="G687" s="27"/>
      <c r="H687" s="27"/>
      <c r="I687" s="27"/>
      <c r="J687" s="27"/>
    </row>
    <row r="688" ht="15" customHeight="1">
      <c r="A688" s="26">
        <v>682</v>
      </c>
      <c r="B688" s="26"/>
      <c r="C688" s="26"/>
      <c r="D688" s="26"/>
      <c r="E688" s="26"/>
      <c r="F688" s="26"/>
      <c r="G688" s="26"/>
      <c r="H688" s="26"/>
      <c r="I688" s="26"/>
      <c r="J688" s="26"/>
    </row>
    <row r="689" ht="15" customHeight="1">
      <c r="A689" s="27">
        <v>683</v>
      </c>
      <c r="B689" s="27"/>
      <c r="C689" s="27"/>
      <c r="D689" s="27"/>
      <c r="E689" s="27"/>
      <c r="F689" s="27"/>
      <c r="G689" s="27"/>
      <c r="H689" s="27"/>
      <c r="I689" s="27"/>
      <c r="J689" s="27"/>
    </row>
    <row r="690" ht="15" customHeight="1">
      <c r="A690" s="26">
        <v>684</v>
      </c>
      <c r="B690" s="26"/>
      <c r="C690" s="26"/>
      <c r="D690" s="26"/>
      <c r="E690" s="26"/>
      <c r="F690" s="26"/>
      <c r="G690" s="26"/>
      <c r="H690" s="26"/>
      <c r="I690" s="26"/>
      <c r="J690" s="26"/>
    </row>
    <row r="691" ht="15" customHeight="1">
      <c r="A691" s="27">
        <v>685</v>
      </c>
      <c r="B691" s="27"/>
      <c r="C691" s="27"/>
      <c r="D691" s="27"/>
      <c r="E691" s="27"/>
      <c r="F691" s="27"/>
      <c r="G691" s="27"/>
      <c r="H691" s="27"/>
      <c r="I691" s="27"/>
      <c r="J691" s="27"/>
    </row>
    <row r="692" ht="15" customHeight="1">
      <c r="A692" s="26">
        <v>686</v>
      </c>
      <c r="B692" s="26"/>
      <c r="C692" s="26"/>
      <c r="D692" s="26"/>
      <c r="E692" s="26"/>
      <c r="F692" s="26"/>
      <c r="G692" s="26"/>
      <c r="H692" s="26"/>
      <c r="I692" s="26"/>
      <c r="J692" s="26"/>
    </row>
    <row r="693" ht="15" customHeight="1">
      <c r="A693" s="27">
        <v>687</v>
      </c>
      <c r="B693" s="27"/>
      <c r="C693" s="27"/>
      <c r="D693" s="27"/>
      <c r="E693" s="27"/>
      <c r="F693" s="27"/>
      <c r="G693" s="27"/>
      <c r="H693" s="27"/>
      <c r="I693" s="27"/>
      <c r="J693" s="27"/>
    </row>
    <row r="694" ht="15" customHeight="1">
      <c r="A694" s="26">
        <v>688</v>
      </c>
      <c r="B694" s="26"/>
      <c r="C694" s="26"/>
      <c r="D694" s="26"/>
      <c r="E694" s="26"/>
      <c r="F694" s="26"/>
      <c r="G694" s="26"/>
      <c r="H694" s="26"/>
      <c r="I694" s="26"/>
      <c r="J694" s="26"/>
    </row>
    <row r="695" ht="15" customHeight="1">
      <c r="A695" s="27">
        <v>689</v>
      </c>
      <c r="B695" s="27"/>
      <c r="C695" s="27"/>
      <c r="D695" s="27"/>
      <c r="E695" s="27"/>
      <c r="F695" s="27"/>
      <c r="G695" s="27"/>
      <c r="H695" s="27"/>
      <c r="I695" s="27"/>
      <c r="J695" s="27"/>
    </row>
    <row r="696" ht="15" customHeight="1">
      <c r="A696" s="26">
        <v>690</v>
      </c>
      <c r="B696" s="26"/>
      <c r="C696" s="26"/>
      <c r="D696" s="26"/>
      <c r="E696" s="26"/>
      <c r="F696" s="26"/>
      <c r="G696" s="26"/>
      <c r="H696" s="26"/>
      <c r="I696" s="26"/>
      <c r="J696" s="26"/>
    </row>
    <row r="697" ht="15" customHeight="1">
      <c r="A697" s="27">
        <v>691</v>
      </c>
      <c r="B697" s="27"/>
      <c r="C697" s="27"/>
      <c r="D697" s="27"/>
      <c r="E697" s="27"/>
      <c r="F697" s="27"/>
      <c r="G697" s="27"/>
      <c r="H697" s="27"/>
      <c r="I697" s="27"/>
      <c r="J697" s="27"/>
    </row>
    <row r="698" ht="15" customHeight="1">
      <c r="A698" s="26">
        <v>692</v>
      </c>
      <c r="B698" s="26"/>
      <c r="C698" s="26"/>
      <c r="D698" s="26"/>
      <c r="E698" s="26"/>
      <c r="F698" s="26"/>
      <c r="G698" s="26"/>
      <c r="H698" s="26"/>
      <c r="I698" s="26"/>
      <c r="J698" s="26"/>
    </row>
    <row r="699" ht="15" customHeight="1">
      <c r="A699" s="27">
        <v>693</v>
      </c>
      <c r="B699" s="27"/>
      <c r="C699" s="27"/>
      <c r="D699" s="27"/>
      <c r="E699" s="27"/>
      <c r="F699" s="27"/>
      <c r="G699" s="27"/>
      <c r="H699" s="27"/>
      <c r="I699" s="27"/>
      <c r="J699" s="27"/>
    </row>
    <row r="700" ht="15" customHeight="1">
      <c r="A700" s="26">
        <v>694</v>
      </c>
      <c r="B700" s="26"/>
      <c r="C700" s="26"/>
      <c r="D700" s="26"/>
      <c r="E700" s="26"/>
      <c r="F700" s="26"/>
      <c r="G700" s="26"/>
      <c r="H700" s="26"/>
      <c r="I700" s="26"/>
      <c r="J700" s="26"/>
    </row>
    <row r="701" ht="15" customHeight="1">
      <c r="A701" s="27">
        <v>695</v>
      </c>
      <c r="B701" s="27"/>
      <c r="C701" s="27"/>
      <c r="D701" s="27"/>
      <c r="E701" s="27"/>
      <c r="F701" s="27"/>
      <c r="G701" s="27"/>
      <c r="H701" s="27"/>
      <c r="I701" s="27"/>
      <c r="J701" s="27"/>
    </row>
    <row r="702" ht="15" customHeight="1">
      <c r="A702" s="26">
        <v>696</v>
      </c>
      <c r="B702" s="26"/>
      <c r="C702" s="26"/>
      <c r="D702" s="26"/>
      <c r="E702" s="26"/>
      <c r="F702" s="26"/>
      <c r="G702" s="26"/>
      <c r="H702" s="26"/>
      <c r="I702" s="26"/>
      <c r="J702" s="26"/>
    </row>
    <row r="703" ht="15" customHeight="1">
      <c r="A703" s="27">
        <v>697</v>
      </c>
      <c r="B703" s="27"/>
      <c r="C703" s="27"/>
      <c r="D703" s="27"/>
      <c r="E703" s="27"/>
      <c r="F703" s="27"/>
      <c r="G703" s="27"/>
      <c r="H703" s="27"/>
      <c r="I703" s="27"/>
      <c r="J703" s="27"/>
    </row>
    <row r="704" ht="15" customHeight="1">
      <c r="A704" s="26">
        <v>698</v>
      </c>
      <c r="B704" s="26"/>
      <c r="C704" s="26"/>
      <c r="D704" s="26"/>
      <c r="E704" s="26"/>
      <c r="F704" s="26"/>
      <c r="G704" s="26"/>
      <c r="H704" s="26"/>
      <c r="I704" s="26"/>
      <c r="J704" s="26"/>
    </row>
    <row r="705" ht="15" customHeight="1">
      <c r="A705" s="27">
        <v>699</v>
      </c>
      <c r="B705" s="27"/>
      <c r="C705" s="27"/>
      <c r="D705" s="27"/>
      <c r="E705" s="27"/>
      <c r="F705" s="27"/>
      <c r="G705" s="27"/>
      <c r="H705" s="27"/>
      <c r="I705" s="27"/>
      <c r="J705" s="27"/>
    </row>
    <row r="706" ht="15" customHeight="1">
      <c r="A706" s="26">
        <v>700</v>
      </c>
      <c r="B706" s="26"/>
      <c r="C706" s="26"/>
      <c r="D706" s="26"/>
      <c r="E706" s="26"/>
      <c r="F706" s="26"/>
      <c r="G706" s="26"/>
      <c r="H706" s="26"/>
      <c r="I706" s="26"/>
      <c r="J706" s="26"/>
    </row>
    <row r="707" ht="15" customHeight="1">
      <c r="A707" s="27">
        <v>701</v>
      </c>
      <c r="B707" s="27"/>
      <c r="C707" s="27"/>
      <c r="D707" s="27"/>
      <c r="E707" s="27"/>
      <c r="F707" s="27"/>
      <c r="G707" s="27"/>
      <c r="H707" s="27"/>
      <c r="I707" s="27"/>
      <c r="J707" s="27"/>
    </row>
    <row r="708" ht="15" customHeight="1">
      <c r="A708" s="26">
        <v>702</v>
      </c>
      <c r="B708" s="26"/>
      <c r="C708" s="26"/>
      <c r="D708" s="26"/>
      <c r="E708" s="26"/>
      <c r="F708" s="26"/>
      <c r="G708" s="26"/>
      <c r="H708" s="26"/>
      <c r="I708" s="26"/>
      <c r="J708" s="26"/>
    </row>
    <row r="709" ht="15" customHeight="1">
      <c r="A709" s="27">
        <v>703</v>
      </c>
      <c r="B709" s="27"/>
      <c r="C709" s="27"/>
      <c r="D709" s="27"/>
      <c r="E709" s="27"/>
      <c r="F709" s="27"/>
      <c r="G709" s="27"/>
      <c r="H709" s="27"/>
      <c r="I709" s="27"/>
      <c r="J709" s="27"/>
    </row>
    <row r="710" ht="15" customHeight="1">
      <c r="A710" s="26">
        <v>704</v>
      </c>
      <c r="B710" s="26"/>
      <c r="C710" s="26"/>
      <c r="D710" s="26"/>
      <c r="E710" s="26"/>
      <c r="F710" s="26"/>
      <c r="G710" s="26"/>
      <c r="H710" s="26"/>
      <c r="I710" s="26"/>
      <c r="J710" s="26"/>
    </row>
    <row r="711" ht="15" customHeight="1">
      <c r="A711" s="27">
        <v>705</v>
      </c>
      <c r="B711" s="27"/>
      <c r="C711" s="27"/>
      <c r="D711" s="27"/>
      <c r="E711" s="27"/>
      <c r="F711" s="27"/>
      <c r="G711" s="27"/>
      <c r="H711" s="27"/>
      <c r="I711" s="27"/>
      <c r="J711" s="27"/>
    </row>
    <row r="712" ht="15" customHeight="1">
      <c r="A712" s="26">
        <v>706</v>
      </c>
      <c r="B712" s="26"/>
      <c r="C712" s="26"/>
      <c r="D712" s="26"/>
      <c r="E712" s="26"/>
      <c r="F712" s="26"/>
      <c r="G712" s="26"/>
      <c r="H712" s="26"/>
      <c r="I712" s="26"/>
      <c r="J712" s="26"/>
    </row>
    <row r="713" ht="15" customHeight="1">
      <c r="A713" s="27">
        <v>707</v>
      </c>
      <c r="B713" s="27"/>
      <c r="C713" s="27"/>
      <c r="D713" s="27"/>
      <c r="E713" s="27"/>
      <c r="F713" s="27"/>
      <c r="G713" s="27"/>
      <c r="H713" s="27"/>
      <c r="I713" s="27"/>
      <c r="J713" s="27"/>
    </row>
    <row r="714" ht="15" customHeight="1">
      <c r="A714" s="26">
        <v>708</v>
      </c>
      <c r="B714" s="26"/>
      <c r="C714" s="26"/>
      <c r="D714" s="26"/>
      <c r="E714" s="26"/>
      <c r="F714" s="26"/>
      <c r="G714" s="26"/>
      <c r="H714" s="26"/>
      <c r="I714" s="26"/>
      <c r="J714" s="26"/>
    </row>
    <row r="715" ht="15" customHeight="1">
      <c r="A715" s="27">
        <v>709</v>
      </c>
      <c r="B715" s="27"/>
      <c r="C715" s="27"/>
      <c r="D715" s="27"/>
      <c r="E715" s="27"/>
      <c r="F715" s="27"/>
      <c r="G715" s="27"/>
      <c r="H715" s="27"/>
      <c r="I715" s="27"/>
      <c r="J715" s="27"/>
    </row>
    <row r="716" ht="15" customHeight="1">
      <c r="A716" s="26">
        <v>710</v>
      </c>
      <c r="B716" s="26"/>
      <c r="C716" s="26"/>
      <c r="D716" s="26"/>
      <c r="E716" s="26"/>
      <c r="F716" s="26"/>
      <c r="G716" s="26"/>
      <c r="H716" s="26"/>
      <c r="I716" s="26"/>
      <c r="J716" s="26"/>
    </row>
    <row r="717" ht="15" customHeight="1">
      <c r="A717" s="27">
        <v>711</v>
      </c>
      <c r="B717" s="27"/>
      <c r="C717" s="27"/>
      <c r="D717" s="27"/>
      <c r="E717" s="27"/>
      <c r="F717" s="27"/>
      <c r="G717" s="27"/>
      <c r="H717" s="27"/>
      <c r="I717" s="27"/>
      <c r="J717" s="27"/>
    </row>
    <row r="718" ht="15" customHeight="1">
      <c r="A718" s="26">
        <v>712</v>
      </c>
      <c r="B718" s="26"/>
      <c r="C718" s="26"/>
      <c r="D718" s="26"/>
      <c r="E718" s="26"/>
      <c r="F718" s="26"/>
      <c r="G718" s="26"/>
      <c r="H718" s="26"/>
      <c r="I718" s="26"/>
      <c r="J718" s="26"/>
    </row>
    <row r="719" ht="15" customHeight="1">
      <c r="A719" s="27">
        <v>713</v>
      </c>
      <c r="B719" s="27"/>
      <c r="C719" s="27"/>
      <c r="D719" s="27"/>
      <c r="E719" s="27"/>
      <c r="F719" s="27"/>
      <c r="G719" s="27"/>
      <c r="H719" s="27"/>
      <c r="I719" s="27"/>
      <c r="J719" s="27"/>
    </row>
    <row r="720" ht="15" customHeight="1">
      <c r="A720" s="26">
        <v>714</v>
      </c>
      <c r="B720" s="26"/>
      <c r="C720" s="26"/>
      <c r="D720" s="26"/>
      <c r="E720" s="26"/>
      <c r="F720" s="26"/>
      <c r="G720" s="26"/>
      <c r="H720" s="26"/>
      <c r="I720" s="26"/>
      <c r="J720" s="26"/>
    </row>
    <row r="721" ht="15" customHeight="1">
      <c r="A721" s="27">
        <v>715</v>
      </c>
      <c r="B721" s="27"/>
      <c r="C721" s="27"/>
      <c r="D721" s="27"/>
      <c r="E721" s="27"/>
      <c r="F721" s="27"/>
      <c r="G721" s="27"/>
      <c r="H721" s="27"/>
      <c r="I721" s="27"/>
      <c r="J721" s="27"/>
    </row>
    <row r="722" ht="15" customHeight="1">
      <c r="A722" s="26">
        <v>716</v>
      </c>
      <c r="B722" s="26"/>
      <c r="C722" s="26"/>
      <c r="D722" s="26"/>
      <c r="E722" s="26"/>
      <c r="F722" s="26"/>
      <c r="G722" s="26"/>
      <c r="H722" s="26"/>
      <c r="I722" s="26"/>
      <c r="J722" s="26"/>
    </row>
    <row r="723" ht="15" customHeight="1">
      <c r="A723" s="27">
        <v>717</v>
      </c>
      <c r="B723" s="27"/>
      <c r="C723" s="27"/>
      <c r="D723" s="27"/>
      <c r="E723" s="27"/>
      <c r="F723" s="27"/>
      <c r="G723" s="27"/>
      <c r="H723" s="27"/>
      <c r="I723" s="27"/>
      <c r="J723" s="27"/>
    </row>
    <row r="724" ht="15" customHeight="1">
      <c r="A724" s="26">
        <v>718</v>
      </c>
      <c r="B724" s="26"/>
      <c r="C724" s="26"/>
      <c r="D724" s="26"/>
      <c r="E724" s="26"/>
      <c r="F724" s="26"/>
      <c r="G724" s="26"/>
      <c r="H724" s="26"/>
      <c r="I724" s="26"/>
      <c r="J724" s="26"/>
    </row>
    <row r="725" ht="15" customHeight="1">
      <c r="A725" s="27">
        <v>719</v>
      </c>
      <c r="B725" s="27"/>
      <c r="C725" s="27"/>
      <c r="D725" s="27"/>
      <c r="E725" s="27"/>
      <c r="F725" s="27"/>
      <c r="G725" s="27"/>
      <c r="H725" s="27"/>
      <c r="I725" s="27"/>
      <c r="J725" s="27"/>
    </row>
    <row r="726" ht="15" customHeight="1">
      <c r="A726" s="26">
        <v>720</v>
      </c>
      <c r="B726" s="26"/>
      <c r="C726" s="26"/>
      <c r="D726" s="26"/>
      <c r="E726" s="26"/>
      <c r="F726" s="26"/>
      <c r="G726" s="26"/>
      <c r="H726" s="26"/>
      <c r="I726" s="26"/>
      <c r="J726" s="26"/>
    </row>
    <row r="727" ht="15" customHeight="1">
      <c r="A727" s="27">
        <v>721</v>
      </c>
      <c r="B727" s="27"/>
      <c r="C727" s="27"/>
      <c r="D727" s="27"/>
      <c r="E727" s="27"/>
      <c r="F727" s="27"/>
      <c r="G727" s="27"/>
      <c r="H727" s="27"/>
      <c r="I727" s="27"/>
      <c r="J727" s="27"/>
    </row>
    <row r="728" ht="15" customHeight="1">
      <c r="A728" s="26">
        <v>722</v>
      </c>
      <c r="B728" s="26"/>
      <c r="C728" s="26"/>
      <c r="D728" s="26"/>
      <c r="E728" s="26"/>
      <c r="F728" s="26"/>
      <c r="G728" s="26"/>
      <c r="H728" s="26"/>
      <c r="I728" s="26"/>
      <c r="J728" s="26"/>
    </row>
    <row r="729" ht="15" customHeight="1">
      <c r="A729" s="27">
        <v>723</v>
      </c>
      <c r="B729" s="27"/>
      <c r="C729" s="27"/>
      <c r="D729" s="27"/>
      <c r="E729" s="27"/>
      <c r="F729" s="27"/>
      <c r="G729" s="27"/>
      <c r="H729" s="27"/>
      <c r="I729" s="27"/>
      <c r="J729" s="27"/>
    </row>
    <row r="730" ht="15" customHeight="1">
      <c r="A730" s="26">
        <v>724</v>
      </c>
      <c r="B730" s="26"/>
      <c r="C730" s="26"/>
      <c r="D730" s="26"/>
      <c r="E730" s="26"/>
      <c r="F730" s="26"/>
      <c r="G730" s="26"/>
      <c r="H730" s="26"/>
      <c r="I730" s="26"/>
      <c r="J730" s="26"/>
    </row>
    <row r="731" ht="15" customHeight="1">
      <c r="A731" s="27">
        <v>725</v>
      </c>
      <c r="B731" s="27"/>
      <c r="C731" s="27"/>
      <c r="D731" s="27"/>
      <c r="E731" s="27"/>
      <c r="F731" s="27"/>
      <c r="G731" s="27"/>
      <c r="H731" s="27"/>
      <c r="I731" s="27"/>
      <c r="J731" s="27"/>
    </row>
    <row r="732" ht="15" customHeight="1">
      <c r="A732" s="26">
        <v>726</v>
      </c>
      <c r="B732" s="26"/>
      <c r="C732" s="26"/>
      <c r="D732" s="26"/>
      <c r="E732" s="26"/>
      <c r="F732" s="26"/>
      <c r="G732" s="26"/>
      <c r="H732" s="26"/>
      <c r="I732" s="26"/>
      <c r="J732" s="26"/>
    </row>
    <row r="733" ht="15" customHeight="1">
      <c r="A733" s="27">
        <v>727</v>
      </c>
      <c r="B733" s="27"/>
      <c r="C733" s="27"/>
      <c r="D733" s="27"/>
      <c r="E733" s="27"/>
      <c r="F733" s="27"/>
      <c r="G733" s="27"/>
      <c r="H733" s="27"/>
      <c r="I733" s="27"/>
      <c r="J733" s="27"/>
    </row>
    <row r="734" ht="15" customHeight="1">
      <c r="A734" s="26">
        <v>728</v>
      </c>
      <c r="B734" s="26"/>
      <c r="C734" s="26"/>
      <c r="D734" s="26"/>
      <c r="E734" s="26"/>
      <c r="F734" s="26"/>
      <c r="G734" s="26"/>
      <c r="H734" s="26"/>
      <c r="I734" s="26"/>
      <c r="J734" s="26"/>
    </row>
    <row r="735" ht="15" customHeight="1">
      <c r="A735" s="27">
        <v>729</v>
      </c>
      <c r="B735" s="27"/>
      <c r="C735" s="27"/>
      <c r="D735" s="27"/>
      <c r="E735" s="27"/>
      <c r="F735" s="27"/>
      <c r="G735" s="27"/>
      <c r="H735" s="27"/>
      <c r="I735" s="27"/>
      <c r="J735" s="27"/>
    </row>
    <row r="736" ht="15" customHeight="1">
      <c r="A736" s="26">
        <v>730</v>
      </c>
      <c r="B736" s="26"/>
      <c r="C736" s="26"/>
      <c r="D736" s="26"/>
      <c r="E736" s="26"/>
      <c r="F736" s="26"/>
      <c r="G736" s="26"/>
      <c r="H736" s="26"/>
      <c r="I736" s="26"/>
      <c r="J736" s="26"/>
    </row>
    <row r="737" ht="15" customHeight="1">
      <c r="A737" s="27">
        <v>731</v>
      </c>
      <c r="B737" s="27"/>
      <c r="C737" s="27"/>
      <c r="D737" s="27"/>
      <c r="E737" s="27"/>
      <c r="F737" s="27"/>
      <c r="G737" s="27"/>
      <c r="H737" s="27"/>
      <c r="I737" s="27"/>
      <c r="J737" s="27"/>
    </row>
    <row r="738" ht="15" customHeight="1">
      <c r="A738" s="26">
        <v>732</v>
      </c>
      <c r="B738" s="26"/>
      <c r="C738" s="26"/>
      <c r="D738" s="26"/>
      <c r="E738" s="26"/>
      <c r="F738" s="26"/>
      <c r="G738" s="26"/>
      <c r="H738" s="26"/>
      <c r="I738" s="26"/>
      <c r="J738" s="26"/>
    </row>
    <row r="739" ht="15" customHeight="1">
      <c r="A739" s="27">
        <v>733</v>
      </c>
      <c r="B739" s="27"/>
      <c r="C739" s="27"/>
      <c r="D739" s="27"/>
      <c r="E739" s="27"/>
      <c r="F739" s="27"/>
      <c r="G739" s="27"/>
      <c r="H739" s="27"/>
      <c r="I739" s="27"/>
      <c r="J739" s="27"/>
    </row>
    <row r="740" ht="15" customHeight="1">
      <c r="A740" s="26">
        <v>734</v>
      </c>
      <c r="B740" s="26"/>
      <c r="C740" s="26"/>
      <c r="D740" s="26"/>
      <c r="E740" s="26"/>
      <c r="F740" s="26"/>
      <c r="G740" s="26"/>
      <c r="H740" s="26"/>
      <c r="I740" s="26"/>
      <c r="J740" s="26"/>
    </row>
    <row r="741" ht="15" customHeight="1">
      <c r="A741" s="27">
        <v>735</v>
      </c>
      <c r="B741" s="27"/>
      <c r="C741" s="27"/>
      <c r="D741" s="27"/>
      <c r="E741" s="27"/>
      <c r="F741" s="27"/>
      <c r="G741" s="27"/>
      <c r="H741" s="27"/>
      <c r="I741" s="27"/>
      <c r="J741" s="27"/>
    </row>
    <row r="742" ht="15" customHeight="1">
      <c r="A742" s="26">
        <v>736</v>
      </c>
      <c r="B742" s="26"/>
      <c r="C742" s="26"/>
      <c r="D742" s="26"/>
      <c r="E742" s="26"/>
      <c r="F742" s="26"/>
      <c r="G742" s="26"/>
      <c r="H742" s="26"/>
      <c r="I742" s="26"/>
      <c r="J742" s="26"/>
    </row>
    <row r="743" ht="15" customHeight="1">
      <c r="A743" s="27">
        <v>737</v>
      </c>
      <c r="B743" s="27"/>
      <c r="C743" s="27"/>
      <c r="D743" s="27"/>
      <c r="E743" s="27"/>
      <c r="F743" s="27"/>
      <c r="G743" s="27"/>
      <c r="H743" s="27"/>
      <c r="I743" s="27"/>
      <c r="J743" s="27"/>
    </row>
    <row r="744" ht="15" customHeight="1">
      <c r="A744" s="26">
        <v>738</v>
      </c>
      <c r="B744" s="26"/>
      <c r="C744" s="26"/>
      <c r="D744" s="26"/>
      <c r="E744" s="26"/>
      <c r="F744" s="26"/>
      <c r="G744" s="26"/>
      <c r="H744" s="26"/>
      <c r="I744" s="26"/>
      <c r="J744" s="26"/>
    </row>
    <row r="745" ht="15" customHeight="1">
      <c r="A745" s="27">
        <v>739</v>
      </c>
      <c r="B745" s="27"/>
      <c r="C745" s="27"/>
      <c r="D745" s="27"/>
      <c r="E745" s="27"/>
      <c r="F745" s="27"/>
      <c r="G745" s="27"/>
      <c r="H745" s="27"/>
      <c r="I745" s="27"/>
      <c r="J745" s="27"/>
    </row>
    <row r="746" ht="15" customHeight="1">
      <c r="A746" s="26">
        <v>740</v>
      </c>
      <c r="B746" s="26"/>
      <c r="C746" s="26"/>
      <c r="D746" s="26"/>
      <c r="E746" s="26"/>
      <c r="F746" s="26"/>
      <c r="G746" s="26"/>
      <c r="H746" s="26"/>
      <c r="I746" s="26"/>
      <c r="J746" s="26"/>
    </row>
    <row r="747" ht="15" customHeight="1">
      <c r="A747" s="27">
        <v>741</v>
      </c>
      <c r="B747" s="27"/>
      <c r="C747" s="27"/>
      <c r="D747" s="27"/>
      <c r="E747" s="27"/>
      <c r="F747" s="27"/>
      <c r="G747" s="27"/>
      <c r="H747" s="27"/>
      <c r="I747" s="27"/>
      <c r="J747" s="27"/>
    </row>
    <row r="748" ht="15" customHeight="1">
      <c r="A748" s="26">
        <v>742</v>
      </c>
      <c r="B748" s="26"/>
      <c r="C748" s="26"/>
      <c r="D748" s="26"/>
      <c r="E748" s="26"/>
      <c r="F748" s="26"/>
      <c r="G748" s="26"/>
      <c r="H748" s="26"/>
      <c r="I748" s="26"/>
      <c r="J748" s="26"/>
    </row>
    <row r="749" ht="15" customHeight="1">
      <c r="A749" s="27">
        <v>743</v>
      </c>
      <c r="B749" s="27"/>
      <c r="C749" s="27"/>
      <c r="D749" s="27"/>
      <c r="E749" s="27"/>
      <c r="F749" s="27"/>
      <c r="G749" s="27"/>
      <c r="H749" s="27"/>
      <c r="I749" s="27"/>
      <c r="J749" s="27"/>
    </row>
    <row r="750" ht="15" customHeight="1">
      <c r="A750" s="26">
        <v>744</v>
      </c>
      <c r="B750" s="26"/>
      <c r="C750" s="26"/>
      <c r="D750" s="26"/>
      <c r="E750" s="26"/>
      <c r="F750" s="26"/>
      <c r="G750" s="26"/>
      <c r="H750" s="26"/>
      <c r="I750" s="26"/>
      <c r="J750" s="26"/>
    </row>
    <row r="751" ht="15" customHeight="1">
      <c r="A751" s="27">
        <v>745</v>
      </c>
      <c r="B751" s="27"/>
      <c r="C751" s="27"/>
      <c r="D751" s="27"/>
      <c r="E751" s="27"/>
      <c r="F751" s="27"/>
      <c r="G751" s="27"/>
      <c r="H751" s="27"/>
      <c r="I751" s="27"/>
      <c r="J751" s="27"/>
    </row>
    <row r="752" ht="15" customHeight="1">
      <c r="A752" s="26">
        <v>746</v>
      </c>
      <c r="B752" s="26"/>
      <c r="C752" s="26"/>
      <c r="D752" s="26"/>
      <c r="E752" s="26"/>
      <c r="F752" s="26"/>
      <c r="G752" s="26"/>
      <c r="H752" s="26"/>
      <c r="I752" s="26"/>
      <c r="J752" s="26"/>
    </row>
    <row r="753" ht="15" customHeight="1">
      <c r="A753" s="27">
        <v>747</v>
      </c>
      <c r="B753" s="27"/>
      <c r="C753" s="27"/>
      <c r="D753" s="27"/>
      <c r="E753" s="27"/>
      <c r="F753" s="27"/>
      <c r="G753" s="27"/>
      <c r="H753" s="27"/>
      <c r="I753" s="27"/>
      <c r="J753" s="27"/>
    </row>
    <row r="754" ht="15" customHeight="1">
      <c r="A754" s="26">
        <v>748</v>
      </c>
      <c r="B754" s="26"/>
      <c r="C754" s="26"/>
      <c r="D754" s="26"/>
      <c r="E754" s="26"/>
      <c r="F754" s="26"/>
      <c r="G754" s="26"/>
      <c r="H754" s="26"/>
      <c r="I754" s="26"/>
      <c r="J754" s="26"/>
    </row>
    <row r="755" ht="15" customHeight="1">
      <c r="A755" s="27">
        <v>749</v>
      </c>
      <c r="B755" s="27"/>
      <c r="C755" s="27"/>
      <c r="D755" s="27"/>
      <c r="E755" s="27"/>
      <c r="F755" s="27"/>
      <c r="G755" s="27"/>
      <c r="H755" s="27"/>
      <c r="I755" s="27"/>
      <c r="J755" s="27"/>
    </row>
    <row r="756" ht="15" customHeight="1">
      <c r="A756" s="26">
        <v>750</v>
      </c>
      <c r="B756" s="26"/>
      <c r="C756" s="26"/>
      <c r="D756" s="26"/>
      <c r="E756" s="26"/>
      <c r="F756" s="26"/>
      <c r="G756" s="26"/>
      <c r="H756" s="26"/>
      <c r="I756" s="26"/>
      <c r="J756" s="26"/>
    </row>
    <row r="757" ht="15" customHeight="1">
      <c r="A757" s="27">
        <v>751</v>
      </c>
      <c r="B757" s="27"/>
      <c r="C757" s="27"/>
      <c r="D757" s="27"/>
      <c r="E757" s="27"/>
      <c r="F757" s="27"/>
      <c r="G757" s="27"/>
      <c r="H757" s="27"/>
      <c r="I757" s="27"/>
      <c r="J757" s="27"/>
    </row>
    <row r="758" ht="15" customHeight="1">
      <c r="A758" s="26">
        <v>752</v>
      </c>
      <c r="B758" s="26"/>
      <c r="C758" s="26"/>
      <c r="D758" s="26"/>
      <c r="E758" s="26"/>
      <c r="F758" s="26"/>
      <c r="G758" s="26"/>
      <c r="H758" s="26"/>
      <c r="I758" s="26"/>
      <c r="J758" s="26"/>
    </row>
    <row r="759" ht="15" customHeight="1">
      <c r="A759" s="27">
        <v>753</v>
      </c>
      <c r="B759" s="27"/>
      <c r="C759" s="27"/>
      <c r="D759" s="27"/>
      <c r="E759" s="27"/>
      <c r="F759" s="27"/>
      <c r="G759" s="27"/>
      <c r="H759" s="27"/>
      <c r="I759" s="27"/>
      <c r="J759" s="27"/>
    </row>
    <row r="760" ht="15" customHeight="1">
      <c r="A760" s="26">
        <v>754</v>
      </c>
      <c r="B760" s="26"/>
      <c r="C760" s="26"/>
      <c r="D760" s="26"/>
      <c r="E760" s="26"/>
      <c r="F760" s="26"/>
      <c r="G760" s="26"/>
      <c r="H760" s="26"/>
      <c r="I760" s="26"/>
      <c r="J760" s="26"/>
    </row>
    <row r="761" ht="15" customHeight="1">
      <c r="A761" s="27">
        <v>755</v>
      </c>
      <c r="B761" s="27"/>
      <c r="C761" s="27"/>
      <c r="D761" s="27"/>
      <c r="E761" s="27"/>
      <c r="F761" s="27"/>
      <c r="G761" s="27"/>
      <c r="H761" s="27"/>
      <c r="I761" s="27"/>
      <c r="J761" s="27"/>
    </row>
    <row r="762" ht="15" customHeight="1">
      <c r="A762" s="26">
        <v>756</v>
      </c>
      <c r="B762" s="26"/>
      <c r="C762" s="26"/>
      <c r="D762" s="26"/>
      <c r="E762" s="26"/>
      <c r="F762" s="26"/>
      <c r="G762" s="26"/>
      <c r="H762" s="26"/>
      <c r="I762" s="26"/>
      <c r="J762" s="26"/>
    </row>
    <row r="763" ht="15" customHeight="1">
      <c r="A763" s="27">
        <v>757</v>
      </c>
      <c r="B763" s="27"/>
      <c r="C763" s="27"/>
      <c r="D763" s="27"/>
      <c r="E763" s="27"/>
      <c r="F763" s="27"/>
      <c r="G763" s="27"/>
      <c r="H763" s="27"/>
      <c r="I763" s="27"/>
      <c r="J763" s="27"/>
    </row>
    <row r="764" ht="15" customHeight="1">
      <c r="A764" s="26">
        <v>758</v>
      </c>
      <c r="B764" s="26"/>
      <c r="C764" s="26"/>
      <c r="D764" s="26"/>
      <c r="E764" s="26"/>
      <c r="F764" s="26"/>
      <c r="G764" s="26"/>
      <c r="H764" s="26"/>
      <c r="I764" s="26"/>
      <c r="J764" s="26"/>
    </row>
    <row r="765" ht="15" customHeight="1">
      <c r="A765" s="27">
        <v>759</v>
      </c>
      <c r="B765" s="27"/>
      <c r="C765" s="27"/>
      <c r="D765" s="27"/>
      <c r="E765" s="27"/>
      <c r="F765" s="27"/>
      <c r="G765" s="27"/>
      <c r="H765" s="27"/>
      <c r="I765" s="27"/>
      <c r="J765" s="27"/>
    </row>
    <row r="766" ht="15" customHeight="1">
      <c r="A766" s="26">
        <v>760</v>
      </c>
      <c r="B766" s="26"/>
      <c r="C766" s="26"/>
      <c r="D766" s="26"/>
      <c r="E766" s="26"/>
      <c r="F766" s="26"/>
      <c r="G766" s="26"/>
      <c r="H766" s="26"/>
      <c r="I766" s="26"/>
      <c r="J766" s="26"/>
    </row>
    <row r="767" ht="15" customHeight="1">
      <c r="A767" s="27">
        <v>761</v>
      </c>
      <c r="B767" s="27"/>
      <c r="C767" s="27"/>
      <c r="D767" s="27"/>
      <c r="E767" s="27"/>
      <c r="F767" s="27"/>
      <c r="G767" s="27"/>
      <c r="H767" s="27"/>
      <c r="I767" s="27"/>
      <c r="J767" s="27"/>
    </row>
    <row r="768" ht="15" customHeight="1">
      <c r="A768" s="26">
        <v>762</v>
      </c>
      <c r="B768" s="26"/>
      <c r="C768" s="26"/>
      <c r="D768" s="26"/>
      <c r="E768" s="26"/>
      <c r="F768" s="26"/>
      <c r="G768" s="26"/>
      <c r="H768" s="26"/>
      <c r="I768" s="26"/>
      <c r="J768" s="26"/>
    </row>
    <row r="769" ht="15" customHeight="1">
      <c r="A769" s="27">
        <v>763</v>
      </c>
      <c r="B769" s="27"/>
      <c r="C769" s="27"/>
      <c r="D769" s="27"/>
      <c r="E769" s="27"/>
      <c r="F769" s="27"/>
      <c r="G769" s="27"/>
      <c r="H769" s="27"/>
      <c r="I769" s="27"/>
      <c r="J769" s="27"/>
    </row>
    <row r="770" ht="15" customHeight="1">
      <c r="A770" s="26">
        <v>764</v>
      </c>
      <c r="B770" s="26"/>
      <c r="C770" s="26"/>
      <c r="D770" s="26"/>
      <c r="E770" s="26"/>
      <c r="F770" s="26"/>
      <c r="G770" s="26"/>
      <c r="H770" s="26"/>
      <c r="I770" s="26"/>
      <c r="J770" s="26"/>
    </row>
    <row r="771" ht="15" customHeight="1">
      <c r="A771" s="27">
        <v>765</v>
      </c>
      <c r="B771" s="27"/>
      <c r="C771" s="27"/>
      <c r="D771" s="27"/>
      <c r="E771" s="27"/>
      <c r="F771" s="27"/>
      <c r="G771" s="27"/>
      <c r="H771" s="27"/>
      <c r="I771" s="27"/>
      <c r="J771" s="27"/>
    </row>
    <row r="772" ht="15" customHeight="1">
      <c r="A772" s="26">
        <v>766</v>
      </c>
      <c r="B772" s="26"/>
      <c r="C772" s="26"/>
      <c r="D772" s="26"/>
      <c r="E772" s="26"/>
      <c r="F772" s="26"/>
      <c r="G772" s="26"/>
      <c r="H772" s="26"/>
      <c r="I772" s="26"/>
      <c r="J772" s="26"/>
    </row>
    <row r="773" ht="15" customHeight="1">
      <c r="A773" s="27">
        <v>767</v>
      </c>
      <c r="B773" s="27"/>
      <c r="C773" s="27"/>
      <c r="D773" s="27"/>
      <c r="E773" s="27"/>
      <c r="F773" s="27"/>
      <c r="G773" s="27"/>
      <c r="H773" s="27"/>
      <c r="I773" s="27"/>
      <c r="J773" s="27"/>
    </row>
    <row r="774" ht="15" customHeight="1">
      <c r="A774" s="26">
        <v>768</v>
      </c>
      <c r="B774" s="26"/>
      <c r="C774" s="26"/>
      <c r="D774" s="26"/>
      <c r="E774" s="26"/>
      <c r="F774" s="26"/>
      <c r="G774" s="26"/>
      <c r="H774" s="26"/>
      <c r="I774" s="26"/>
      <c r="J774" s="26"/>
    </row>
    <row r="775" ht="15" customHeight="1">
      <c r="A775" s="27">
        <v>769</v>
      </c>
      <c r="B775" s="27"/>
      <c r="C775" s="27"/>
      <c r="D775" s="27"/>
      <c r="E775" s="27"/>
      <c r="F775" s="27"/>
      <c r="G775" s="27"/>
      <c r="H775" s="27"/>
      <c r="I775" s="27"/>
      <c r="J775" s="27"/>
    </row>
    <row r="776" ht="15" customHeight="1">
      <c r="A776" s="26">
        <v>770</v>
      </c>
      <c r="B776" s="26"/>
      <c r="C776" s="26"/>
      <c r="D776" s="26"/>
      <c r="E776" s="26"/>
      <c r="F776" s="26"/>
      <c r="G776" s="26"/>
      <c r="H776" s="26"/>
      <c r="I776" s="26"/>
      <c r="J776" s="26"/>
    </row>
    <row r="777" ht="15" customHeight="1">
      <c r="A777" s="27">
        <v>771</v>
      </c>
      <c r="B777" s="27"/>
      <c r="C777" s="27"/>
      <c r="D777" s="27"/>
      <c r="E777" s="27"/>
      <c r="F777" s="27"/>
      <c r="G777" s="27"/>
      <c r="H777" s="27"/>
      <c r="I777" s="27"/>
      <c r="J777" s="27"/>
    </row>
    <row r="778" ht="15" customHeight="1">
      <c r="A778" s="26">
        <v>772</v>
      </c>
      <c r="B778" s="26"/>
      <c r="C778" s="26"/>
      <c r="D778" s="26"/>
      <c r="E778" s="26"/>
      <c r="F778" s="26"/>
      <c r="G778" s="26"/>
      <c r="H778" s="26"/>
      <c r="I778" s="26"/>
      <c r="J778" s="26"/>
    </row>
    <row r="779" ht="15" customHeight="1">
      <c r="A779" s="27">
        <v>773</v>
      </c>
      <c r="B779" s="27"/>
      <c r="C779" s="27"/>
      <c r="D779" s="27"/>
      <c r="E779" s="27"/>
      <c r="F779" s="27"/>
      <c r="G779" s="27"/>
      <c r="H779" s="27"/>
      <c r="I779" s="27"/>
      <c r="J779" s="27"/>
    </row>
    <row r="780" ht="15" customHeight="1">
      <c r="A780" s="26">
        <v>774</v>
      </c>
      <c r="B780" s="26"/>
      <c r="C780" s="26"/>
      <c r="D780" s="26"/>
      <c r="E780" s="26"/>
      <c r="F780" s="26"/>
      <c r="G780" s="26"/>
      <c r="H780" s="26"/>
      <c r="I780" s="26"/>
      <c r="J780" s="26"/>
    </row>
    <row r="781" ht="15" customHeight="1">
      <c r="A781" s="27">
        <v>775</v>
      </c>
      <c r="B781" s="27"/>
      <c r="C781" s="27"/>
      <c r="D781" s="27"/>
      <c r="E781" s="27"/>
      <c r="F781" s="27"/>
      <c r="G781" s="27"/>
      <c r="H781" s="27"/>
      <c r="I781" s="27"/>
      <c r="J781" s="27"/>
    </row>
    <row r="782" ht="15" customHeight="1">
      <c r="A782" s="26">
        <v>776</v>
      </c>
      <c r="B782" s="26"/>
      <c r="C782" s="26"/>
      <c r="D782" s="26"/>
      <c r="E782" s="26"/>
      <c r="F782" s="26"/>
      <c r="G782" s="26"/>
      <c r="H782" s="26"/>
      <c r="I782" s="26"/>
      <c r="J782" s="26"/>
    </row>
    <row r="783" ht="15" customHeight="1">
      <c r="A783" s="27">
        <v>777</v>
      </c>
      <c r="B783" s="27"/>
      <c r="C783" s="27"/>
      <c r="D783" s="27"/>
      <c r="E783" s="27"/>
      <c r="F783" s="27"/>
      <c r="G783" s="27"/>
      <c r="H783" s="27"/>
      <c r="I783" s="27"/>
      <c r="J783" s="27"/>
    </row>
    <row r="784" ht="15" customHeight="1">
      <c r="A784" s="26">
        <v>778</v>
      </c>
      <c r="B784" s="26"/>
      <c r="C784" s="26"/>
      <c r="D784" s="26"/>
      <c r="E784" s="26"/>
      <c r="F784" s="26"/>
      <c r="G784" s="26"/>
      <c r="H784" s="26"/>
      <c r="I784" s="26"/>
      <c r="J784" s="26"/>
    </row>
    <row r="785" ht="15" customHeight="1">
      <c r="A785" s="27">
        <v>779</v>
      </c>
      <c r="B785" s="27"/>
      <c r="C785" s="27"/>
      <c r="D785" s="27"/>
      <c r="E785" s="27"/>
      <c r="F785" s="27"/>
      <c r="G785" s="27"/>
      <c r="H785" s="27"/>
      <c r="I785" s="27"/>
      <c r="J785" s="27"/>
    </row>
    <row r="786" ht="15" customHeight="1">
      <c r="A786" s="26">
        <v>780</v>
      </c>
      <c r="B786" s="26"/>
      <c r="C786" s="26"/>
      <c r="D786" s="26"/>
      <c r="E786" s="26"/>
      <c r="F786" s="26"/>
      <c r="G786" s="26"/>
      <c r="H786" s="26"/>
      <c r="I786" s="26"/>
      <c r="J786" s="26"/>
    </row>
    <row r="787" ht="15" customHeight="1">
      <c r="A787" s="27">
        <v>781</v>
      </c>
      <c r="B787" s="27"/>
      <c r="C787" s="27"/>
      <c r="D787" s="27"/>
      <c r="E787" s="27"/>
      <c r="F787" s="27"/>
      <c r="G787" s="27"/>
      <c r="H787" s="27"/>
      <c r="I787" s="27"/>
      <c r="J787" s="27"/>
    </row>
    <row r="788" ht="15" customHeight="1">
      <c r="A788" s="26">
        <v>782</v>
      </c>
      <c r="B788" s="26"/>
      <c r="C788" s="26"/>
      <c r="D788" s="26"/>
      <c r="E788" s="26"/>
      <c r="F788" s="26"/>
      <c r="G788" s="26"/>
      <c r="H788" s="26"/>
      <c r="I788" s="26"/>
      <c r="J788" s="26"/>
    </row>
    <row r="789" ht="15" customHeight="1">
      <c r="A789" s="27">
        <v>783</v>
      </c>
      <c r="B789" s="27"/>
      <c r="C789" s="27"/>
      <c r="D789" s="27"/>
      <c r="E789" s="27"/>
      <c r="F789" s="27"/>
      <c r="G789" s="27"/>
      <c r="H789" s="27"/>
      <c r="I789" s="27"/>
      <c r="J789" s="27"/>
    </row>
    <row r="790" ht="15" customHeight="1">
      <c r="A790" s="26">
        <v>784</v>
      </c>
      <c r="B790" s="26"/>
      <c r="C790" s="26"/>
      <c r="D790" s="26"/>
      <c r="E790" s="26"/>
      <c r="F790" s="26"/>
      <c r="G790" s="26"/>
      <c r="H790" s="26"/>
      <c r="I790" s="26"/>
      <c r="J790" s="26"/>
    </row>
    <row r="791" ht="15" customHeight="1">
      <c r="A791" s="27">
        <v>785</v>
      </c>
      <c r="B791" s="27"/>
      <c r="C791" s="27"/>
      <c r="D791" s="27"/>
      <c r="E791" s="27"/>
      <c r="F791" s="27"/>
      <c r="G791" s="27"/>
      <c r="H791" s="27"/>
      <c r="I791" s="27"/>
      <c r="J791" s="27"/>
    </row>
    <row r="792" ht="15" customHeight="1">
      <c r="A792" s="26">
        <v>786</v>
      </c>
      <c r="B792" s="26"/>
      <c r="C792" s="26"/>
      <c r="D792" s="26"/>
      <c r="E792" s="26"/>
      <c r="F792" s="26"/>
      <c r="G792" s="26"/>
      <c r="H792" s="26"/>
      <c r="I792" s="26"/>
      <c r="J792" s="26"/>
    </row>
    <row r="793" ht="15" customHeight="1">
      <c r="A793" s="27">
        <v>787</v>
      </c>
      <c r="B793" s="27"/>
      <c r="C793" s="27"/>
      <c r="D793" s="27"/>
      <c r="E793" s="27"/>
      <c r="F793" s="27"/>
      <c r="G793" s="27"/>
      <c r="H793" s="27"/>
      <c r="I793" s="27"/>
      <c r="J793" s="27"/>
    </row>
    <row r="794" ht="15" customHeight="1">
      <c r="A794" s="26">
        <v>788</v>
      </c>
      <c r="B794" s="26"/>
      <c r="C794" s="26"/>
      <c r="D794" s="26"/>
      <c r="E794" s="26"/>
      <c r="F794" s="26"/>
      <c r="G794" s="26"/>
      <c r="H794" s="26"/>
      <c r="I794" s="26"/>
      <c r="J794" s="26"/>
    </row>
    <row r="795" ht="15" customHeight="1">
      <c r="A795" s="27">
        <v>789</v>
      </c>
      <c r="B795" s="27"/>
      <c r="C795" s="27"/>
      <c r="D795" s="27"/>
      <c r="E795" s="27"/>
      <c r="F795" s="27"/>
      <c r="G795" s="27"/>
      <c r="H795" s="27"/>
      <c r="I795" s="27"/>
      <c r="J795" s="27"/>
    </row>
    <row r="796" ht="15" customHeight="1">
      <c r="A796" s="26">
        <v>790</v>
      </c>
      <c r="B796" s="26"/>
      <c r="C796" s="26"/>
      <c r="D796" s="26"/>
      <c r="E796" s="26"/>
      <c r="F796" s="26"/>
      <c r="G796" s="26"/>
      <c r="H796" s="26"/>
      <c r="I796" s="26"/>
      <c r="J796" s="26"/>
    </row>
    <row r="797" ht="15" customHeight="1">
      <c r="A797" s="27">
        <v>791</v>
      </c>
      <c r="B797" s="27"/>
      <c r="C797" s="27"/>
      <c r="D797" s="27"/>
      <c r="E797" s="27"/>
      <c r="F797" s="27"/>
      <c r="G797" s="27"/>
      <c r="H797" s="27"/>
      <c r="I797" s="27"/>
      <c r="J797" s="27"/>
    </row>
    <row r="798" ht="15" customHeight="1">
      <c r="A798" s="26">
        <v>792</v>
      </c>
      <c r="B798" s="26"/>
      <c r="C798" s="26"/>
      <c r="D798" s="26"/>
      <c r="E798" s="26"/>
      <c r="F798" s="26"/>
      <c r="G798" s="26"/>
      <c r="H798" s="26"/>
      <c r="I798" s="26"/>
      <c r="J798" s="26"/>
    </row>
    <row r="799" ht="15" customHeight="1">
      <c r="A799" s="27">
        <v>793</v>
      </c>
      <c r="B799" s="27"/>
      <c r="C799" s="27"/>
      <c r="D799" s="27"/>
      <c r="E799" s="27"/>
      <c r="F799" s="27"/>
      <c r="G799" s="27"/>
      <c r="H799" s="27"/>
      <c r="I799" s="27"/>
      <c r="J799" s="27"/>
    </row>
    <row r="800" ht="15" customHeight="1">
      <c r="A800" s="26">
        <v>794</v>
      </c>
      <c r="B800" s="26"/>
      <c r="C800" s="26"/>
      <c r="D800" s="26"/>
      <c r="E800" s="26"/>
      <c r="F800" s="26"/>
      <c r="G800" s="26"/>
      <c r="H800" s="26"/>
      <c r="I800" s="26"/>
      <c r="J800" s="26"/>
    </row>
    <row r="801" ht="15" customHeight="1">
      <c r="A801" s="27">
        <v>795</v>
      </c>
      <c r="B801" s="27"/>
      <c r="C801" s="27"/>
      <c r="D801" s="27"/>
      <c r="E801" s="27"/>
      <c r="F801" s="27"/>
      <c r="G801" s="27"/>
      <c r="H801" s="27"/>
      <c r="I801" s="27"/>
      <c r="J801" s="27"/>
    </row>
    <row r="802" ht="15" customHeight="1">
      <c r="A802" s="26">
        <v>796</v>
      </c>
      <c r="B802" s="26"/>
      <c r="C802" s="26"/>
      <c r="D802" s="26"/>
      <c r="E802" s="26"/>
      <c r="F802" s="26"/>
      <c r="G802" s="26"/>
      <c r="H802" s="26"/>
      <c r="I802" s="26"/>
      <c r="J802" s="26"/>
    </row>
    <row r="803" ht="15" customHeight="1">
      <c r="A803" s="27">
        <v>797</v>
      </c>
      <c r="B803" s="27"/>
      <c r="C803" s="27"/>
      <c r="D803" s="27"/>
      <c r="E803" s="27"/>
      <c r="F803" s="27"/>
      <c r="G803" s="27"/>
      <c r="H803" s="27"/>
      <c r="I803" s="27"/>
      <c r="J803" s="27"/>
    </row>
    <row r="804" ht="15" customHeight="1">
      <c r="A804" s="26">
        <v>798</v>
      </c>
      <c r="B804" s="26"/>
      <c r="C804" s="26"/>
      <c r="D804" s="26"/>
      <c r="E804" s="26"/>
      <c r="F804" s="26"/>
      <c r="G804" s="26"/>
      <c r="H804" s="26"/>
      <c r="I804" s="26"/>
      <c r="J804" s="26"/>
    </row>
    <row r="805" ht="15" customHeight="1">
      <c r="A805" s="27">
        <v>799</v>
      </c>
      <c r="B805" s="27"/>
      <c r="C805" s="27"/>
      <c r="D805" s="27"/>
      <c r="E805" s="27"/>
      <c r="F805" s="27"/>
      <c r="G805" s="27"/>
      <c r="H805" s="27"/>
      <c r="I805" s="27"/>
      <c r="J805" s="27"/>
    </row>
    <row r="806" ht="15" customHeight="1">
      <c r="A806" s="26">
        <v>800</v>
      </c>
      <c r="B806" s="26"/>
      <c r="C806" s="26"/>
      <c r="D806" s="26"/>
      <c r="E806" s="26"/>
      <c r="F806" s="26"/>
      <c r="G806" s="26"/>
      <c r="H806" s="26"/>
      <c r="I806" s="26"/>
      <c r="J806" s="26"/>
    </row>
    <row r="807" ht="15" customHeight="1">
      <c r="A807" s="27">
        <v>801</v>
      </c>
      <c r="B807" s="27"/>
      <c r="C807" s="27"/>
      <c r="D807" s="27"/>
      <c r="E807" s="27"/>
      <c r="F807" s="27"/>
      <c r="G807" s="27"/>
      <c r="H807" s="27"/>
      <c r="I807" s="27"/>
      <c r="J807" s="27"/>
    </row>
    <row r="808" ht="15" customHeight="1">
      <c r="A808" s="26">
        <v>802</v>
      </c>
      <c r="B808" s="26"/>
      <c r="C808" s="26"/>
      <c r="D808" s="26"/>
      <c r="E808" s="26"/>
      <c r="F808" s="26"/>
      <c r="G808" s="26"/>
      <c r="H808" s="26"/>
      <c r="I808" s="26"/>
      <c r="J808" s="26"/>
    </row>
    <row r="809" ht="15" customHeight="1">
      <c r="A809" s="27">
        <v>803</v>
      </c>
      <c r="B809" s="27"/>
      <c r="C809" s="27"/>
      <c r="D809" s="27"/>
      <c r="E809" s="27"/>
      <c r="F809" s="27"/>
      <c r="G809" s="27"/>
      <c r="H809" s="27"/>
      <c r="I809" s="27"/>
      <c r="J809" s="27"/>
    </row>
    <row r="810" ht="15" customHeight="1">
      <c r="A810" s="26">
        <v>804</v>
      </c>
      <c r="B810" s="26"/>
      <c r="C810" s="26"/>
      <c r="D810" s="26"/>
      <c r="E810" s="26"/>
      <c r="F810" s="26"/>
      <c r="G810" s="26"/>
      <c r="H810" s="26"/>
      <c r="I810" s="26"/>
      <c r="J810" s="26"/>
    </row>
    <row r="811" ht="15" customHeight="1">
      <c r="A811" s="27">
        <v>805</v>
      </c>
      <c r="B811" s="27"/>
      <c r="C811" s="27"/>
      <c r="D811" s="27"/>
      <c r="E811" s="27"/>
      <c r="F811" s="27"/>
      <c r="G811" s="27"/>
      <c r="H811" s="27"/>
      <c r="I811" s="27"/>
      <c r="J811" s="27"/>
    </row>
    <row r="812" ht="15" customHeight="1">
      <c r="A812" s="26">
        <v>806</v>
      </c>
      <c r="B812" s="26"/>
      <c r="C812" s="26"/>
      <c r="D812" s="26"/>
      <c r="E812" s="26"/>
      <c r="F812" s="26"/>
      <c r="G812" s="26"/>
      <c r="H812" s="26"/>
      <c r="I812" s="26"/>
      <c r="J812" s="26"/>
    </row>
    <row r="813" ht="15" customHeight="1">
      <c r="A813" s="27">
        <v>807</v>
      </c>
      <c r="B813" s="27"/>
      <c r="C813" s="27"/>
      <c r="D813" s="27"/>
      <c r="E813" s="27"/>
      <c r="F813" s="27"/>
      <c r="G813" s="27"/>
      <c r="H813" s="27"/>
      <c r="I813" s="27"/>
      <c r="J813" s="27"/>
    </row>
    <row r="814" ht="15" customHeight="1">
      <c r="A814" s="26">
        <v>808</v>
      </c>
      <c r="B814" s="26"/>
      <c r="C814" s="26"/>
      <c r="D814" s="26"/>
      <c r="E814" s="26"/>
      <c r="F814" s="26"/>
      <c r="G814" s="26"/>
      <c r="H814" s="26"/>
      <c r="I814" s="26"/>
      <c r="J814" s="26"/>
    </row>
    <row r="815" ht="15" customHeight="1">
      <c r="A815" s="27">
        <v>809</v>
      </c>
      <c r="B815" s="27"/>
      <c r="C815" s="27"/>
      <c r="D815" s="27"/>
      <c r="E815" s="27"/>
      <c r="F815" s="27"/>
      <c r="G815" s="27"/>
      <c r="H815" s="27"/>
      <c r="I815" s="27"/>
      <c r="J815" s="27"/>
    </row>
    <row r="816" ht="15" customHeight="1">
      <c r="A816" s="26">
        <v>810</v>
      </c>
      <c r="B816" s="26"/>
      <c r="C816" s="26"/>
      <c r="D816" s="26"/>
      <c r="E816" s="26"/>
      <c r="F816" s="26"/>
      <c r="G816" s="26"/>
      <c r="H816" s="26"/>
      <c r="I816" s="26"/>
      <c r="J816" s="26"/>
    </row>
    <row r="817" ht="15" customHeight="1">
      <c r="A817" s="27">
        <v>811</v>
      </c>
      <c r="B817" s="27"/>
      <c r="C817" s="27"/>
      <c r="D817" s="27"/>
      <c r="E817" s="27"/>
      <c r="F817" s="27"/>
      <c r="G817" s="27"/>
      <c r="H817" s="27"/>
      <c r="I817" s="27"/>
      <c r="J817" s="27"/>
    </row>
    <row r="818" ht="15" customHeight="1">
      <c r="A818" s="26">
        <v>812</v>
      </c>
      <c r="B818" s="26"/>
      <c r="C818" s="26"/>
      <c r="D818" s="26"/>
      <c r="E818" s="26"/>
      <c r="F818" s="26"/>
      <c r="G818" s="26"/>
      <c r="H818" s="26"/>
      <c r="I818" s="26"/>
      <c r="J818" s="26"/>
    </row>
    <row r="819" ht="15" customHeight="1">
      <c r="A819" s="27">
        <v>813</v>
      </c>
      <c r="B819" s="27"/>
      <c r="C819" s="27"/>
      <c r="D819" s="27"/>
      <c r="E819" s="27"/>
      <c r="F819" s="27"/>
      <c r="G819" s="27"/>
      <c r="H819" s="27"/>
      <c r="I819" s="27"/>
      <c r="J819" s="27"/>
    </row>
    <row r="820" ht="15" customHeight="1">
      <c r="A820" s="26">
        <v>814</v>
      </c>
      <c r="B820" s="26"/>
      <c r="C820" s="26"/>
      <c r="D820" s="26"/>
      <c r="E820" s="26"/>
      <c r="F820" s="26"/>
      <c r="G820" s="26"/>
      <c r="H820" s="26"/>
      <c r="I820" s="26"/>
      <c r="J820" s="26"/>
    </row>
    <row r="821" ht="15" customHeight="1">
      <c r="A821" s="27">
        <v>815</v>
      </c>
      <c r="B821" s="27"/>
      <c r="C821" s="27"/>
      <c r="D821" s="27"/>
      <c r="E821" s="27"/>
      <c r="F821" s="27"/>
      <c r="G821" s="27"/>
      <c r="H821" s="27"/>
      <c r="I821" s="27"/>
      <c r="J821" s="27"/>
    </row>
    <row r="822" ht="15" customHeight="1">
      <c r="A822" s="26">
        <v>816</v>
      </c>
      <c r="B822" s="26"/>
      <c r="C822" s="26"/>
      <c r="D822" s="26"/>
      <c r="E822" s="26"/>
      <c r="F822" s="26"/>
      <c r="G822" s="26"/>
      <c r="H822" s="26"/>
      <c r="I822" s="26"/>
      <c r="J822" s="26"/>
    </row>
    <row r="823" ht="15" customHeight="1">
      <c r="A823" s="27">
        <v>817</v>
      </c>
      <c r="B823" s="27"/>
      <c r="C823" s="27"/>
      <c r="D823" s="27"/>
      <c r="E823" s="27"/>
      <c r="F823" s="27"/>
      <c r="G823" s="27"/>
      <c r="H823" s="27"/>
      <c r="I823" s="27"/>
      <c r="J823" s="27"/>
    </row>
    <row r="824" ht="15" customHeight="1">
      <c r="A824" s="26">
        <v>818</v>
      </c>
      <c r="B824" s="26"/>
      <c r="C824" s="26"/>
      <c r="D824" s="26"/>
      <c r="E824" s="26"/>
      <c r="F824" s="26"/>
      <c r="G824" s="26"/>
      <c r="H824" s="26"/>
      <c r="I824" s="26"/>
      <c r="J824" s="26"/>
    </row>
    <row r="825" ht="15" customHeight="1">
      <c r="A825" s="27">
        <v>819</v>
      </c>
      <c r="B825" s="27"/>
      <c r="C825" s="27"/>
      <c r="D825" s="27"/>
      <c r="E825" s="27"/>
      <c r="F825" s="27"/>
      <c r="G825" s="27"/>
      <c r="H825" s="27"/>
      <c r="I825" s="27"/>
      <c r="J825" s="27"/>
    </row>
    <row r="826" ht="15" customHeight="1">
      <c r="A826" s="26">
        <v>820</v>
      </c>
      <c r="B826" s="26"/>
      <c r="C826" s="26"/>
      <c r="D826" s="26"/>
      <c r="E826" s="26"/>
      <c r="F826" s="26"/>
      <c r="G826" s="26"/>
      <c r="H826" s="26"/>
      <c r="I826" s="26"/>
      <c r="J826" s="26"/>
    </row>
    <row r="827" ht="15" customHeight="1">
      <c r="A827" s="27">
        <v>821</v>
      </c>
      <c r="B827" s="27"/>
      <c r="C827" s="27"/>
      <c r="D827" s="27"/>
      <c r="E827" s="27"/>
      <c r="F827" s="27"/>
      <c r="G827" s="27"/>
      <c r="H827" s="27"/>
      <c r="I827" s="27"/>
      <c r="J827" s="27"/>
    </row>
    <row r="828" ht="15" customHeight="1">
      <c r="A828" s="26">
        <v>822</v>
      </c>
      <c r="B828" s="26"/>
      <c r="C828" s="26"/>
      <c r="D828" s="26"/>
      <c r="E828" s="26"/>
      <c r="F828" s="26"/>
      <c r="G828" s="26"/>
      <c r="H828" s="26"/>
      <c r="I828" s="26"/>
      <c r="J828" s="26"/>
    </row>
    <row r="829" ht="15" customHeight="1">
      <c r="A829" s="27">
        <v>823</v>
      </c>
      <c r="B829" s="27"/>
      <c r="C829" s="27"/>
      <c r="D829" s="27"/>
      <c r="E829" s="27"/>
      <c r="F829" s="27"/>
      <c r="G829" s="27"/>
      <c r="H829" s="27"/>
      <c r="I829" s="27"/>
      <c r="J829" s="27"/>
    </row>
    <row r="830" ht="15" customHeight="1">
      <c r="A830" s="26">
        <v>824</v>
      </c>
      <c r="B830" s="26"/>
      <c r="C830" s="26"/>
      <c r="D830" s="26"/>
      <c r="E830" s="26"/>
      <c r="F830" s="26"/>
      <c r="G830" s="26"/>
      <c r="H830" s="26"/>
      <c r="I830" s="26"/>
      <c r="J830" s="26"/>
    </row>
    <row r="831" ht="15" customHeight="1">
      <c r="A831" s="27">
        <v>825</v>
      </c>
      <c r="B831" s="27"/>
      <c r="C831" s="27"/>
      <c r="D831" s="27"/>
      <c r="E831" s="27"/>
      <c r="F831" s="27"/>
      <c r="G831" s="27"/>
      <c r="H831" s="27"/>
      <c r="I831" s="27"/>
      <c r="J831" s="27"/>
    </row>
    <row r="832" ht="15" customHeight="1">
      <c r="A832" s="26">
        <v>826</v>
      </c>
      <c r="B832" s="26"/>
      <c r="C832" s="26"/>
      <c r="D832" s="26"/>
      <c r="E832" s="26"/>
      <c r="F832" s="26"/>
      <c r="G832" s="26"/>
      <c r="H832" s="26"/>
      <c r="I832" s="26"/>
      <c r="J832" s="26"/>
    </row>
    <row r="833" ht="15" customHeight="1">
      <c r="A833" s="27">
        <v>827</v>
      </c>
      <c r="B833" s="27"/>
      <c r="C833" s="27"/>
      <c r="D833" s="27"/>
      <c r="E833" s="27"/>
      <c r="F833" s="27"/>
      <c r="G833" s="27"/>
      <c r="H833" s="27"/>
      <c r="I833" s="27"/>
      <c r="J833" s="27"/>
    </row>
    <row r="834" ht="15" customHeight="1">
      <c r="A834" s="26">
        <v>828</v>
      </c>
      <c r="B834" s="26"/>
      <c r="C834" s="26"/>
      <c r="D834" s="26"/>
      <c r="E834" s="26"/>
      <c r="F834" s="26"/>
      <c r="G834" s="26"/>
      <c r="H834" s="26"/>
      <c r="I834" s="26"/>
      <c r="J834" s="26"/>
    </row>
    <row r="835" ht="15" customHeight="1">
      <c r="A835" s="27">
        <v>829</v>
      </c>
      <c r="B835" s="27"/>
      <c r="C835" s="27"/>
      <c r="D835" s="27"/>
      <c r="E835" s="27"/>
      <c r="F835" s="27"/>
      <c r="G835" s="27"/>
      <c r="H835" s="27"/>
      <c r="I835" s="27"/>
      <c r="J835" s="27"/>
    </row>
    <row r="836" ht="15" customHeight="1">
      <c r="A836" s="26">
        <v>830</v>
      </c>
      <c r="B836" s="26"/>
      <c r="C836" s="26"/>
      <c r="D836" s="26"/>
      <c r="E836" s="26"/>
      <c r="F836" s="26"/>
      <c r="G836" s="26"/>
      <c r="H836" s="26"/>
      <c r="I836" s="26"/>
      <c r="J836" s="26"/>
    </row>
    <row r="837" ht="15" customHeight="1">
      <c r="A837" s="27">
        <v>831</v>
      </c>
      <c r="B837" s="27"/>
      <c r="C837" s="27"/>
      <c r="D837" s="27"/>
      <c r="E837" s="27"/>
      <c r="F837" s="27"/>
      <c r="G837" s="27"/>
      <c r="H837" s="27"/>
      <c r="I837" s="27"/>
      <c r="J837" s="27"/>
    </row>
    <row r="838" ht="15" customHeight="1">
      <c r="A838" s="26">
        <v>832</v>
      </c>
      <c r="B838" s="26"/>
      <c r="C838" s="26"/>
      <c r="D838" s="26"/>
      <c r="E838" s="26"/>
      <c r="F838" s="26"/>
      <c r="G838" s="26"/>
      <c r="H838" s="26"/>
      <c r="I838" s="26"/>
      <c r="J838" s="26"/>
    </row>
    <row r="839" ht="15" customHeight="1">
      <c r="A839" s="27">
        <v>833</v>
      </c>
      <c r="B839" s="27"/>
      <c r="C839" s="27"/>
      <c r="D839" s="27"/>
      <c r="E839" s="27"/>
      <c r="F839" s="27"/>
      <c r="G839" s="27"/>
      <c r="H839" s="27"/>
      <c r="I839" s="27"/>
      <c r="J839" s="27"/>
    </row>
    <row r="840" ht="15" customHeight="1">
      <c r="A840" s="26">
        <v>834</v>
      </c>
      <c r="B840" s="26"/>
      <c r="C840" s="26"/>
      <c r="D840" s="26"/>
      <c r="E840" s="26"/>
      <c r="F840" s="26"/>
      <c r="G840" s="26"/>
      <c r="H840" s="26"/>
      <c r="I840" s="26"/>
      <c r="J840" s="26"/>
    </row>
    <row r="841" ht="15" customHeight="1">
      <c r="A841" s="27">
        <v>835</v>
      </c>
      <c r="B841" s="27"/>
      <c r="C841" s="27"/>
      <c r="D841" s="27"/>
      <c r="E841" s="27"/>
      <c r="F841" s="27"/>
      <c r="G841" s="27"/>
      <c r="H841" s="27"/>
      <c r="I841" s="27"/>
      <c r="J841" s="27"/>
    </row>
    <row r="842" ht="15" customHeight="1">
      <c r="A842" s="26">
        <v>836</v>
      </c>
      <c r="B842" s="26"/>
      <c r="C842" s="26"/>
      <c r="D842" s="26"/>
      <c r="E842" s="26"/>
      <c r="F842" s="26"/>
      <c r="G842" s="26"/>
      <c r="H842" s="26"/>
      <c r="I842" s="26"/>
      <c r="J842" s="26"/>
    </row>
    <row r="843" ht="15" customHeight="1">
      <c r="A843" s="27">
        <v>837</v>
      </c>
      <c r="B843" s="27"/>
      <c r="C843" s="27"/>
      <c r="D843" s="27"/>
      <c r="E843" s="27"/>
      <c r="F843" s="27"/>
      <c r="G843" s="27"/>
      <c r="H843" s="27"/>
      <c r="I843" s="27"/>
      <c r="J843" s="27"/>
    </row>
    <row r="844" ht="15" customHeight="1">
      <c r="A844" s="26">
        <v>838</v>
      </c>
      <c r="B844" s="26"/>
      <c r="C844" s="26"/>
      <c r="D844" s="26"/>
      <c r="E844" s="26"/>
      <c r="F844" s="26"/>
      <c r="G844" s="26"/>
      <c r="H844" s="26"/>
      <c r="I844" s="26"/>
      <c r="J844" s="26"/>
    </row>
    <row r="845" ht="15" customHeight="1">
      <c r="A845" s="27">
        <v>839</v>
      </c>
      <c r="B845" s="27"/>
      <c r="C845" s="27"/>
      <c r="D845" s="27"/>
      <c r="E845" s="27"/>
      <c r="F845" s="27"/>
      <c r="G845" s="27"/>
      <c r="H845" s="27"/>
      <c r="I845" s="27"/>
      <c r="J845" s="27"/>
    </row>
    <row r="846" ht="15" customHeight="1">
      <c r="A846" s="26">
        <v>840</v>
      </c>
      <c r="B846" s="26"/>
      <c r="C846" s="26"/>
      <c r="D846" s="26"/>
      <c r="E846" s="26"/>
      <c r="F846" s="26"/>
      <c r="G846" s="26"/>
      <c r="H846" s="26"/>
      <c r="I846" s="26"/>
      <c r="J846" s="26"/>
    </row>
    <row r="847" ht="15" customHeight="1">
      <c r="A847" s="27">
        <v>841</v>
      </c>
      <c r="B847" s="27"/>
      <c r="C847" s="27"/>
      <c r="D847" s="27"/>
      <c r="E847" s="27"/>
      <c r="F847" s="27"/>
      <c r="G847" s="27"/>
      <c r="H847" s="27"/>
      <c r="I847" s="27"/>
      <c r="J847" s="27"/>
    </row>
    <row r="848" ht="15" customHeight="1">
      <c r="A848" s="26">
        <v>842</v>
      </c>
      <c r="B848" s="26"/>
      <c r="C848" s="26"/>
      <c r="D848" s="26"/>
      <c r="E848" s="26"/>
      <c r="F848" s="26"/>
      <c r="G848" s="26"/>
      <c r="H848" s="26"/>
      <c r="I848" s="26"/>
      <c r="J848" s="26"/>
    </row>
    <row r="849" ht="15" customHeight="1">
      <c r="A849" s="27">
        <v>843</v>
      </c>
      <c r="B849" s="27"/>
      <c r="C849" s="27"/>
      <c r="D849" s="27"/>
      <c r="E849" s="27"/>
      <c r="F849" s="27"/>
      <c r="G849" s="27"/>
      <c r="H849" s="27"/>
      <c r="I849" s="27"/>
      <c r="J849" s="27"/>
    </row>
    <row r="850" ht="15" customHeight="1">
      <c r="A850" s="26">
        <v>844</v>
      </c>
      <c r="B850" s="26"/>
      <c r="C850" s="26"/>
      <c r="D850" s="26"/>
      <c r="E850" s="26"/>
      <c r="F850" s="26"/>
      <c r="G850" s="26"/>
      <c r="H850" s="26"/>
      <c r="I850" s="26"/>
      <c r="J850" s="26"/>
    </row>
    <row r="851" ht="15" customHeight="1">
      <c r="A851" s="27">
        <v>845</v>
      </c>
      <c r="B851" s="27"/>
      <c r="C851" s="27"/>
      <c r="D851" s="27"/>
      <c r="E851" s="27"/>
      <c r="F851" s="27"/>
      <c r="G851" s="27"/>
      <c r="H851" s="27"/>
      <c r="I851" s="27"/>
      <c r="J851" s="27"/>
    </row>
    <row r="852" ht="15" customHeight="1">
      <c r="A852" s="26">
        <v>846</v>
      </c>
      <c r="B852" s="26"/>
      <c r="C852" s="26"/>
      <c r="D852" s="26"/>
      <c r="E852" s="26"/>
      <c r="F852" s="26"/>
      <c r="G852" s="26"/>
      <c r="H852" s="26"/>
      <c r="I852" s="26"/>
      <c r="J852" s="26"/>
    </row>
    <row r="853" ht="15" customHeight="1">
      <c r="A853" s="27">
        <v>847</v>
      </c>
      <c r="B853" s="27"/>
      <c r="C853" s="27"/>
      <c r="D853" s="27"/>
      <c r="E853" s="27"/>
      <c r="F853" s="27"/>
      <c r="G853" s="27"/>
      <c r="H853" s="27"/>
      <c r="I853" s="27"/>
      <c r="J853" s="27"/>
    </row>
    <row r="854" ht="15" customHeight="1">
      <c r="A854" s="26">
        <v>848</v>
      </c>
      <c r="B854" s="26"/>
      <c r="C854" s="26"/>
      <c r="D854" s="26"/>
      <c r="E854" s="26"/>
      <c r="F854" s="26"/>
      <c r="G854" s="26"/>
      <c r="H854" s="26"/>
      <c r="I854" s="26"/>
      <c r="J854" s="26"/>
    </row>
    <row r="855" ht="15" customHeight="1">
      <c r="A855" s="27">
        <v>849</v>
      </c>
      <c r="B855" s="27"/>
      <c r="C855" s="27"/>
      <c r="D855" s="27"/>
      <c r="E855" s="27"/>
      <c r="F855" s="27"/>
      <c r="G855" s="27"/>
      <c r="H855" s="27"/>
      <c r="I855" s="27"/>
      <c r="J855" s="27"/>
    </row>
    <row r="856" ht="15" customHeight="1">
      <c r="A856" s="26">
        <v>850</v>
      </c>
      <c r="B856" s="26"/>
      <c r="C856" s="26"/>
      <c r="D856" s="26"/>
      <c r="E856" s="26"/>
      <c r="F856" s="26"/>
      <c r="G856" s="26"/>
      <c r="H856" s="26"/>
      <c r="I856" s="26"/>
      <c r="J856" s="26"/>
    </row>
    <row r="857" ht="15" customHeight="1">
      <c r="A857" s="27">
        <v>851</v>
      </c>
      <c r="B857" s="27"/>
      <c r="C857" s="27"/>
      <c r="D857" s="27"/>
      <c r="E857" s="27"/>
      <c r="F857" s="27"/>
      <c r="G857" s="27"/>
      <c r="H857" s="27"/>
      <c r="I857" s="27"/>
      <c r="J857" s="27"/>
    </row>
    <row r="858" ht="15" customHeight="1">
      <c r="A858" s="26">
        <v>852</v>
      </c>
      <c r="B858" s="26"/>
      <c r="C858" s="26"/>
      <c r="D858" s="26"/>
      <c r="E858" s="26"/>
      <c r="F858" s="26"/>
      <c r="G858" s="26"/>
      <c r="H858" s="26"/>
      <c r="I858" s="26"/>
      <c r="J858" s="26"/>
    </row>
    <row r="859" ht="15" customHeight="1">
      <c r="A859" s="27">
        <v>853</v>
      </c>
      <c r="B859" s="27"/>
      <c r="C859" s="27"/>
      <c r="D859" s="27"/>
      <c r="E859" s="27"/>
      <c r="F859" s="27"/>
      <c r="G859" s="27"/>
      <c r="H859" s="27"/>
      <c r="I859" s="27"/>
      <c r="J859" s="27"/>
    </row>
    <row r="860" ht="15" customHeight="1">
      <c r="A860" s="26">
        <v>854</v>
      </c>
      <c r="B860" s="26"/>
      <c r="C860" s="26"/>
      <c r="D860" s="26"/>
      <c r="E860" s="26"/>
      <c r="F860" s="26"/>
      <c r="G860" s="26"/>
      <c r="H860" s="26"/>
      <c r="I860" s="26"/>
      <c r="J860" s="26"/>
    </row>
    <row r="861" ht="15" customHeight="1">
      <c r="A861" s="27">
        <v>855</v>
      </c>
      <c r="B861" s="27"/>
      <c r="C861" s="27"/>
      <c r="D861" s="27"/>
      <c r="E861" s="27"/>
      <c r="F861" s="27"/>
      <c r="G861" s="27"/>
      <c r="H861" s="27"/>
      <c r="I861" s="27"/>
      <c r="J861" s="27"/>
    </row>
    <row r="862" ht="15" customHeight="1">
      <c r="A862" s="26">
        <v>856</v>
      </c>
      <c r="B862" s="26"/>
      <c r="C862" s="26"/>
      <c r="D862" s="26"/>
      <c r="E862" s="26"/>
      <c r="F862" s="26"/>
      <c r="G862" s="26"/>
      <c r="H862" s="26"/>
      <c r="I862" s="26"/>
      <c r="J862" s="26"/>
    </row>
    <row r="863" ht="15" customHeight="1">
      <c r="A863" s="27">
        <v>857</v>
      </c>
      <c r="B863" s="27"/>
      <c r="C863" s="27"/>
      <c r="D863" s="27"/>
      <c r="E863" s="27"/>
      <c r="F863" s="27"/>
      <c r="G863" s="27"/>
      <c r="H863" s="27"/>
      <c r="I863" s="27"/>
      <c r="J863" s="27"/>
    </row>
    <row r="864" ht="15" customHeight="1">
      <c r="A864" s="26">
        <v>858</v>
      </c>
      <c r="B864" s="26"/>
      <c r="C864" s="26"/>
      <c r="D864" s="26"/>
      <c r="E864" s="26"/>
      <c r="F864" s="26"/>
      <c r="G864" s="26"/>
      <c r="H864" s="26"/>
      <c r="I864" s="26"/>
      <c r="J864" s="26"/>
    </row>
    <row r="865" ht="15" customHeight="1">
      <c r="A865" s="27">
        <v>859</v>
      </c>
      <c r="B865" s="27"/>
      <c r="C865" s="27"/>
      <c r="D865" s="27"/>
      <c r="E865" s="27"/>
      <c r="F865" s="27"/>
      <c r="G865" s="27"/>
      <c r="H865" s="27"/>
      <c r="I865" s="27"/>
      <c r="J865" s="27"/>
    </row>
    <row r="866" ht="15" customHeight="1">
      <c r="A866" s="26">
        <v>860</v>
      </c>
      <c r="B866" s="26"/>
      <c r="C866" s="26"/>
      <c r="D866" s="26"/>
      <c r="E866" s="26"/>
      <c r="F866" s="26"/>
      <c r="G866" s="26"/>
      <c r="H866" s="26"/>
      <c r="I866" s="26"/>
      <c r="J866" s="26"/>
    </row>
    <row r="867" ht="15" customHeight="1">
      <c r="A867" s="27">
        <v>861</v>
      </c>
      <c r="B867" s="27"/>
      <c r="C867" s="27"/>
      <c r="D867" s="27"/>
      <c r="E867" s="27"/>
      <c r="F867" s="27"/>
      <c r="G867" s="27"/>
      <c r="H867" s="27"/>
      <c r="I867" s="27"/>
      <c r="J867" s="27"/>
    </row>
    <row r="868" ht="15" customHeight="1">
      <c r="A868" s="26">
        <v>862</v>
      </c>
      <c r="B868" s="26"/>
      <c r="C868" s="26"/>
      <c r="D868" s="26"/>
      <c r="E868" s="26"/>
      <c r="F868" s="26"/>
      <c r="G868" s="26"/>
      <c r="H868" s="26"/>
      <c r="I868" s="26"/>
      <c r="J868" s="26"/>
    </row>
    <row r="869" ht="15" customHeight="1">
      <c r="A869" s="27">
        <v>863</v>
      </c>
      <c r="B869" s="27"/>
      <c r="C869" s="27"/>
      <c r="D869" s="27"/>
      <c r="E869" s="27"/>
      <c r="F869" s="27"/>
      <c r="G869" s="27"/>
      <c r="H869" s="27"/>
      <c r="I869" s="27"/>
      <c r="J869" s="27"/>
    </row>
    <row r="870" ht="15" customHeight="1">
      <c r="A870" s="26">
        <v>864</v>
      </c>
      <c r="B870" s="26"/>
      <c r="C870" s="26"/>
      <c r="D870" s="26"/>
      <c r="E870" s="26"/>
      <c r="F870" s="26"/>
      <c r="G870" s="26"/>
      <c r="H870" s="26"/>
      <c r="I870" s="26"/>
      <c r="J870" s="26"/>
    </row>
    <row r="871" ht="15" customHeight="1">
      <c r="A871" s="27">
        <v>865</v>
      </c>
      <c r="B871" s="27"/>
      <c r="C871" s="27"/>
      <c r="D871" s="27"/>
      <c r="E871" s="27"/>
      <c r="F871" s="27"/>
      <c r="G871" s="27"/>
      <c r="H871" s="27"/>
      <c r="I871" s="27"/>
      <c r="J871" s="27"/>
    </row>
    <row r="872" ht="15" customHeight="1">
      <c r="A872" s="26">
        <v>866</v>
      </c>
      <c r="B872" s="26"/>
      <c r="C872" s="26"/>
      <c r="D872" s="26"/>
      <c r="E872" s="26"/>
      <c r="F872" s="26"/>
      <c r="G872" s="26"/>
      <c r="H872" s="26"/>
      <c r="I872" s="26"/>
      <c r="J872" s="26"/>
    </row>
    <row r="873" ht="15" customHeight="1">
      <c r="A873" s="27">
        <v>867</v>
      </c>
      <c r="B873" s="27"/>
      <c r="C873" s="27"/>
      <c r="D873" s="27"/>
      <c r="E873" s="27"/>
      <c r="F873" s="27"/>
      <c r="G873" s="27"/>
      <c r="H873" s="27"/>
      <c r="I873" s="27"/>
      <c r="J873" s="27"/>
    </row>
    <row r="874" ht="15" customHeight="1">
      <c r="A874" s="26">
        <v>868</v>
      </c>
      <c r="B874" s="26"/>
      <c r="C874" s="26"/>
      <c r="D874" s="26"/>
      <c r="E874" s="26"/>
      <c r="F874" s="26"/>
      <c r="G874" s="26"/>
      <c r="H874" s="26"/>
      <c r="I874" s="26"/>
      <c r="J874" s="26"/>
    </row>
    <row r="875" ht="15" customHeight="1">
      <c r="A875" s="27">
        <v>869</v>
      </c>
      <c r="B875" s="27"/>
      <c r="C875" s="27"/>
      <c r="D875" s="27"/>
      <c r="E875" s="27"/>
      <c r="F875" s="27"/>
      <c r="G875" s="27"/>
      <c r="H875" s="27"/>
      <c r="I875" s="27"/>
      <c r="J875" s="27"/>
    </row>
    <row r="876" ht="15" customHeight="1">
      <c r="A876" s="26">
        <v>870</v>
      </c>
      <c r="B876" s="26"/>
      <c r="C876" s="26"/>
      <c r="D876" s="26"/>
      <c r="E876" s="26"/>
      <c r="F876" s="26"/>
      <c r="G876" s="26"/>
      <c r="H876" s="26"/>
      <c r="I876" s="26"/>
      <c r="J876" s="26"/>
    </row>
    <row r="877" ht="15" customHeight="1">
      <c r="A877" s="27">
        <v>871</v>
      </c>
      <c r="B877" s="27"/>
      <c r="C877" s="27"/>
      <c r="D877" s="27"/>
      <c r="E877" s="27"/>
      <c r="F877" s="27"/>
      <c r="G877" s="27"/>
      <c r="H877" s="27"/>
      <c r="I877" s="27"/>
      <c r="J877" s="27"/>
    </row>
    <row r="878" ht="15" customHeight="1">
      <c r="A878" s="26">
        <v>872</v>
      </c>
      <c r="B878" s="26"/>
      <c r="C878" s="26"/>
      <c r="D878" s="26"/>
      <c r="E878" s="26"/>
      <c r="F878" s="26"/>
      <c r="G878" s="26"/>
      <c r="H878" s="26"/>
      <c r="I878" s="26"/>
      <c r="J878" s="26"/>
    </row>
    <row r="879" ht="15" customHeight="1">
      <c r="A879" s="27">
        <v>873</v>
      </c>
      <c r="B879" s="27"/>
      <c r="C879" s="27"/>
      <c r="D879" s="27"/>
      <c r="E879" s="27"/>
      <c r="F879" s="27"/>
      <c r="G879" s="27"/>
      <c r="H879" s="27"/>
      <c r="I879" s="27"/>
      <c r="J879" s="27"/>
    </row>
    <row r="880" ht="15" customHeight="1">
      <c r="A880" s="26">
        <v>874</v>
      </c>
      <c r="B880" s="26"/>
      <c r="C880" s="26"/>
      <c r="D880" s="26"/>
      <c r="E880" s="26"/>
      <c r="F880" s="26"/>
      <c r="G880" s="26"/>
      <c r="H880" s="26"/>
      <c r="I880" s="26"/>
      <c r="J880" s="26"/>
    </row>
    <row r="881" ht="15" customHeight="1">
      <c r="A881" s="27">
        <v>875</v>
      </c>
      <c r="B881" s="27"/>
      <c r="C881" s="27"/>
      <c r="D881" s="27"/>
      <c r="E881" s="27"/>
      <c r="F881" s="27"/>
      <c r="G881" s="27"/>
      <c r="H881" s="27"/>
      <c r="I881" s="27"/>
      <c r="J881" s="27"/>
    </row>
    <row r="882" ht="15" customHeight="1">
      <c r="A882" s="26">
        <v>876</v>
      </c>
      <c r="B882" s="26"/>
      <c r="C882" s="26"/>
      <c r="D882" s="26"/>
      <c r="E882" s="26"/>
      <c r="F882" s="26"/>
      <c r="G882" s="26"/>
      <c r="H882" s="26"/>
      <c r="I882" s="26"/>
      <c r="J882" s="26"/>
    </row>
    <row r="883" ht="15" customHeight="1">
      <c r="A883" s="27">
        <v>877</v>
      </c>
      <c r="B883" s="27"/>
      <c r="C883" s="27"/>
      <c r="D883" s="27"/>
      <c r="E883" s="27"/>
      <c r="F883" s="27"/>
      <c r="G883" s="27"/>
      <c r="H883" s="27"/>
      <c r="I883" s="27"/>
      <c r="J883" s="27"/>
    </row>
    <row r="884" ht="15" customHeight="1">
      <c r="A884" s="26">
        <v>878</v>
      </c>
      <c r="B884" s="26"/>
      <c r="C884" s="26"/>
      <c r="D884" s="26"/>
      <c r="E884" s="26"/>
      <c r="F884" s="26"/>
      <c r="G884" s="26"/>
      <c r="H884" s="26"/>
      <c r="I884" s="26"/>
      <c r="J884" s="26"/>
    </row>
    <row r="885" ht="15" customHeight="1">
      <c r="A885" s="27">
        <v>879</v>
      </c>
      <c r="B885" s="27"/>
      <c r="C885" s="27"/>
      <c r="D885" s="27"/>
      <c r="E885" s="27"/>
      <c r="F885" s="27"/>
      <c r="G885" s="27"/>
      <c r="H885" s="27"/>
      <c r="I885" s="27"/>
      <c r="J885" s="27"/>
    </row>
    <row r="886" ht="15" customHeight="1">
      <c r="A886" s="26">
        <v>880</v>
      </c>
      <c r="B886" s="26"/>
      <c r="C886" s="26"/>
      <c r="D886" s="26"/>
      <c r="E886" s="26"/>
      <c r="F886" s="26"/>
      <c r="G886" s="26"/>
      <c r="H886" s="26"/>
      <c r="I886" s="26"/>
      <c r="J886" s="26"/>
    </row>
    <row r="887" ht="15" customHeight="1">
      <c r="A887" s="27">
        <v>881</v>
      </c>
      <c r="B887" s="27"/>
      <c r="C887" s="27"/>
      <c r="D887" s="27"/>
      <c r="E887" s="27"/>
      <c r="F887" s="27"/>
      <c r="G887" s="27"/>
      <c r="H887" s="27"/>
      <c r="I887" s="27"/>
      <c r="J887" s="27"/>
    </row>
    <row r="888" ht="15" customHeight="1">
      <c r="A888" s="26">
        <v>882</v>
      </c>
      <c r="B888" s="26"/>
      <c r="C888" s="26"/>
      <c r="D888" s="26"/>
      <c r="E888" s="26"/>
      <c r="F888" s="26"/>
      <c r="G888" s="26"/>
      <c r="H888" s="26"/>
      <c r="I888" s="26"/>
      <c r="J888" s="26"/>
    </row>
    <row r="889" ht="15" customHeight="1">
      <c r="A889" s="27">
        <v>883</v>
      </c>
      <c r="B889" s="27"/>
      <c r="C889" s="27"/>
      <c r="D889" s="27"/>
      <c r="E889" s="27"/>
      <c r="F889" s="27"/>
      <c r="G889" s="27"/>
      <c r="H889" s="27"/>
      <c r="I889" s="27"/>
      <c r="J889" s="27"/>
    </row>
    <row r="890" ht="15" customHeight="1">
      <c r="A890" s="26">
        <v>884</v>
      </c>
      <c r="B890" s="26"/>
      <c r="C890" s="26"/>
      <c r="D890" s="26"/>
      <c r="E890" s="26"/>
      <c r="F890" s="26"/>
      <c r="G890" s="26"/>
      <c r="H890" s="26"/>
      <c r="I890" s="26"/>
      <c r="J890" s="26"/>
    </row>
    <row r="891" ht="15" customHeight="1">
      <c r="A891" s="27">
        <v>885</v>
      </c>
      <c r="B891" s="27"/>
      <c r="C891" s="27"/>
      <c r="D891" s="27"/>
      <c r="E891" s="27"/>
      <c r="F891" s="27"/>
      <c r="G891" s="27"/>
      <c r="H891" s="27"/>
      <c r="I891" s="27"/>
      <c r="J891" s="27"/>
    </row>
    <row r="892" ht="15" customHeight="1">
      <c r="A892" s="26">
        <v>886</v>
      </c>
      <c r="B892" s="26"/>
      <c r="C892" s="26"/>
      <c r="D892" s="26"/>
      <c r="E892" s="26"/>
      <c r="F892" s="26"/>
      <c r="G892" s="26"/>
      <c r="H892" s="26"/>
      <c r="I892" s="26"/>
      <c r="J892" s="26"/>
    </row>
    <row r="893" ht="15" customHeight="1">
      <c r="A893" s="27">
        <v>887</v>
      </c>
      <c r="B893" s="27"/>
      <c r="C893" s="27"/>
      <c r="D893" s="27"/>
      <c r="E893" s="27"/>
      <c r="F893" s="27"/>
      <c r="G893" s="27"/>
      <c r="H893" s="27"/>
      <c r="I893" s="27"/>
      <c r="J893" s="27"/>
    </row>
    <row r="894" ht="15" customHeight="1">
      <c r="A894" s="26">
        <v>888</v>
      </c>
      <c r="B894" s="26"/>
      <c r="C894" s="26"/>
      <c r="D894" s="26"/>
      <c r="E894" s="26"/>
      <c r="F894" s="26"/>
      <c r="G894" s="26"/>
      <c r="H894" s="26"/>
      <c r="I894" s="26"/>
      <c r="J894" s="26"/>
    </row>
    <row r="895" ht="15" customHeight="1">
      <c r="A895" s="27">
        <v>889</v>
      </c>
      <c r="B895" s="27"/>
      <c r="C895" s="27"/>
      <c r="D895" s="27"/>
      <c r="E895" s="27"/>
      <c r="F895" s="27"/>
      <c r="G895" s="27"/>
      <c r="H895" s="27"/>
      <c r="I895" s="27"/>
      <c r="J895" s="27"/>
    </row>
    <row r="896" ht="15" customHeight="1">
      <c r="A896" s="26">
        <v>890</v>
      </c>
      <c r="B896" s="26"/>
      <c r="C896" s="26"/>
      <c r="D896" s="26"/>
      <c r="E896" s="26"/>
      <c r="F896" s="26"/>
      <c r="G896" s="26"/>
      <c r="H896" s="26"/>
      <c r="I896" s="26"/>
      <c r="J896" s="26"/>
    </row>
    <row r="897" ht="15" customHeight="1">
      <c r="A897" s="27">
        <v>891</v>
      </c>
      <c r="B897" s="27"/>
      <c r="C897" s="27"/>
      <c r="D897" s="27"/>
      <c r="E897" s="27"/>
      <c r="F897" s="27"/>
      <c r="G897" s="27"/>
      <c r="H897" s="27"/>
      <c r="I897" s="27"/>
      <c r="J897" s="27"/>
    </row>
    <row r="898" ht="15" customHeight="1">
      <c r="A898" s="26">
        <v>892</v>
      </c>
      <c r="B898" s="26"/>
      <c r="C898" s="26"/>
      <c r="D898" s="26"/>
      <c r="E898" s="26"/>
      <c r="F898" s="26"/>
      <c r="G898" s="26"/>
      <c r="H898" s="26"/>
      <c r="I898" s="26"/>
      <c r="J898" s="26"/>
    </row>
    <row r="899" ht="15" customHeight="1">
      <c r="A899" s="27">
        <v>893</v>
      </c>
      <c r="B899" s="27"/>
      <c r="C899" s="27"/>
      <c r="D899" s="27"/>
      <c r="E899" s="27"/>
      <c r="F899" s="27"/>
      <c r="G899" s="27"/>
      <c r="H899" s="27"/>
      <c r="I899" s="27"/>
      <c r="J899" s="27"/>
    </row>
    <row r="900" ht="15" customHeight="1">
      <c r="A900" s="26">
        <v>894</v>
      </c>
      <c r="B900" s="26"/>
      <c r="C900" s="26"/>
      <c r="D900" s="26"/>
      <c r="E900" s="26"/>
      <c r="F900" s="26"/>
      <c r="G900" s="26"/>
      <c r="H900" s="26"/>
      <c r="I900" s="26"/>
      <c r="J900" s="26"/>
    </row>
    <row r="901" ht="15" customHeight="1">
      <c r="A901" s="27">
        <v>895</v>
      </c>
      <c r="B901" s="27"/>
      <c r="C901" s="27"/>
      <c r="D901" s="27"/>
      <c r="E901" s="27"/>
      <c r="F901" s="27"/>
      <c r="G901" s="27"/>
      <c r="H901" s="27"/>
      <c r="I901" s="27"/>
      <c r="J901" s="27"/>
    </row>
    <row r="902" ht="15" customHeight="1">
      <c r="A902" s="26">
        <v>896</v>
      </c>
      <c r="B902" s="26"/>
      <c r="C902" s="26"/>
      <c r="D902" s="26"/>
      <c r="E902" s="26"/>
      <c r="F902" s="26"/>
      <c r="G902" s="26"/>
      <c r="H902" s="26"/>
      <c r="I902" s="26"/>
      <c r="J902" s="26"/>
    </row>
    <row r="903" ht="15" customHeight="1">
      <c r="A903" s="27">
        <v>897</v>
      </c>
      <c r="B903" s="27"/>
      <c r="C903" s="27"/>
      <c r="D903" s="27"/>
      <c r="E903" s="27"/>
      <c r="F903" s="27"/>
      <c r="G903" s="27"/>
      <c r="H903" s="27"/>
      <c r="I903" s="27"/>
      <c r="J903" s="27"/>
    </row>
    <row r="904" ht="15" customHeight="1">
      <c r="A904" s="26">
        <v>898</v>
      </c>
      <c r="B904" s="26"/>
      <c r="C904" s="26"/>
      <c r="D904" s="26"/>
      <c r="E904" s="26"/>
      <c r="F904" s="26"/>
      <c r="G904" s="26"/>
      <c r="H904" s="26"/>
      <c r="I904" s="26"/>
      <c r="J904" s="26"/>
    </row>
    <row r="905" ht="15" customHeight="1">
      <c r="A905" s="27">
        <v>899</v>
      </c>
      <c r="B905" s="27"/>
      <c r="C905" s="27"/>
      <c r="D905" s="27"/>
      <c r="E905" s="27"/>
      <c r="F905" s="27"/>
      <c r="G905" s="27"/>
      <c r="H905" s="27"/>
      <c r="I905" s="27"/>
      <c r="J905" s="27"/>
    </row>
    <row r="906" ht="15" customHeight="1">
      <c r="A906" s="26">
        <v>900</v>
      </c>
      <c r="B906" s="26"/>
      <c r="C906" s="26"/>
      <c r="D906" s="26"/>
      <c r="E906" s="26"/>
      <c r="F906" s="26"/>
      <c r="G906" s="26"/>
      <c r="H906" s="26"/>
      <c r="I906" s="26"/>
      <c r="J906" s="26"/>
    </row>
    <row r="907" ht="15" customHeight="1">
      <c r="A907" s="27">
        <v>901</v>
      </c>
      <c r="B907" s="27"/>
      <c r="C907" s="27"/>
      <c r="D907" s="27"/>
      <c r="E907" s="27"/>
      <c r="F907" s="27"/>
      <c r="G907" s="27"/>
      <c r="H907" s="27"/>
      <c r="I907" s="27"/>
      <c r="J907" s="27"/>
    </row>
    <row r="908" ht="15" customHeight="1">
      <c r="A908" s="26">
        <v>902</v>
      </c>
      <c r="B908" s="26"/>
      <c r="C908" s="26"/>
      <c r="D908" s="26"/>
      <c r="E908" s="26"/>
      <c r="F908" s="26"/>
      <c r="G908" s="26"/>
      <c r="H908" s="26"/>
      <c r="I908" s="26"/>
      <c r="J908" s="26"/>
    </row>
    <row r="909" ht="15" customHeight="1">
      <c r="A909" s="27">
        <v>903</v>
      </c>
      <c r="B909" s="27"/>
      <c r="C909" s="27"/>
      <c r="D909" s="27"/>
      <c r="E909" s="27"/>
      <c r="F909" s="27"/>
      <c r="G909" s="27"/>
      <c r="H909" s="27"/>
      <c r="I909" s="27"/>
      <c r="J909" s="27"/>
    </row>
    <row r="910" ht="15" customHeight="1">
      <c r="A910" s="26">
        <v>904</v>
      </c>
      <c r="B910" s="26"/>
      <c r="C910" s="26"/>
      <c r="D910" s="26"/>
      <c r="E910" s="26"/>
      <c r="F910" s="26"/>
      <c r="G910" s="26"/>
      <c r="H910" s="26"/>
      <c r="I910" s="26"/>
      <c r="J910" s="26"/>
    </row>
    <row r="911" ht="15" customHeight="1">
      <c r="A911" s="27">
        <v>905</v>
      </c>
      <c r="B911" s="27"/>
      <c r="C911" s="27"/>
      <c r="D911" s="27"/>
      <c r="E911" s="27"/>
      <c r="F911" s="27"/>
      <c r="G911" s="27"/>
      <c r="H911" s="27"/>
      <c r="I911" s="27"/>
      <c r="J911" s="27"/>
    </row>
    <row r="912" ht="15" customHeight="1">
      <c r="A912" s="26">
        <v>906</v>
      </c>
      <c r="B912" s="26"/>
      <c r="C912" s="26"/>
      <c r="D912" s="26"/>
      <c r="E912" s="26"/>
      <c r="F912" s="26"/>
      <c r="G912" s="26"/>
      <c r="H912" s="26"/>
      <c r="I912" s="26"/>
      <c r="J912" s="26"/>
    </row>
    <row r="913" ht="15" customHeight="1">
      <c r="A913" s="27">
        <v>907</v>
      </c>
      <c r="B913" s="27"/>
      <c r="C913" s="27"/>
      <c r="D913" s="27"/>
      <c r="E913" s="27"/>
      <c r="F913" s="27"/>
      <c r="G913" s="27"/>
      <c r="H913" s="27"/>
      <c r="I913" s="27"/>
      <c r="J913" s="27"/>
    </row>
    <row r="914" ht="15" customHeight="1">
      <c r="A914" s="26">
        <v>908</v>
      </c>
      <c r="B914" s="26"/>
      <c r="C914" s="26"/>
      <c r="D914" s="26"/>
      <c r="E914" s="26"/>
      <c r="F914" s="26"/>
      <c r="G914" s="26"/>
      <c r="H914" s="26"/>
      <c r="I914" s="26"/>
      <c r="J914" s="26"/>
    </row>
    <row r="915" ht="15" customHeight="1">
      <c r="A915" s="27">
        <v>909</v>
      </c>
      <c r="B915" s="27"/>
      <c r="C915" s="27"/>
      <c r="D915" s="27"/>
      <c r="E915" s="27"/>
      <c r="F915" s="27"/>
      <c r="G915" s="27"/>
      <c r="H915" s="27"/>
      <c r="I915" s="27"/>
      <c r="J915" s="27"/>
    </row>
    <row r="916" ht="15" customHeight="1">
      <c r="A916" s="26">
        <v>910</v>
      </c>
      <c r="B916" s="26"/>
      <c r="C916" s="26"/>
      <c r="D916" s="26"/>
      <c r="E916" s="26"/>
      <c r="F916" s="26"/>
      <c r="G916" s="26"/>
      <c r="H916" s="26"/>
      <c r="I916" s="26"/>
      <c r="J916" s="26"/>
    </row>
    <row r="917" ht="15" customHeight="1">
      <c r="A917" s="27">
        <v>911</v>
      </c>
      <c r="B917" s="27"/>
      <c r="C917" s="27"/>
      <c r="D917" s="27"/>
      <c r="E917" s="27"/>
      <c r="F917" s="27"/>
      <c r="G917" s="27"/>
      <c r="H917" s="27"/>
      <c r="I917" s="27"/>
      <c r="J917" s="27"/>
    </row>
    <row r="918" ht="15" customHeight="1">
      <c r="A918" s="26">
        <v>912</v>
      </c>
      <c r="B918" s="26"/>
      <c r="C918" s="26"/>
      <c r="D918" s="26"/>
      <c r="E918" s="26"/>
      <c r="F918" s="26"/>
      <c r="G918" s="26"/>
      <c r="H918" s="26"/>
      <c r="I918" s="26"/>
      <c r="J918" s="26"/>
    </row>
    <row r="919" ht="15" customHeight="1">
      <c r="A919" s="27">
        <v>913</v>
      </c>
      <c r="B919" s="27"/>
      <c r="C919" s="27"/>
      <c r="D919" s="27"/>
      <c r="E919" s="27"/>
      <c r="F919" s="27"/>
      <c r="G919" s="27"/>
      <c r="H919" s="27"/>
      <c r="I919" s="27"/>
      <c r="J919" s="27"/>
    </row>
    <row r="920" ht="15" customHeight="1">
      <c r="A920" s="26">
        <v>914</v>
      </c>
      <c r="B920" s="26"/>
      <c r="C920" s="26"/>
      <c r="D920" s="26"/>
      <c r="E920" s="26"/>
      <c r="F920" s="26"/>
      <c r="G920" s="26"/>
      <c r="H920" s="26"/>
      <c r="I920" s="26"/>
      <c r="J920" s="26"/>
    </row>
    <row r="921" ht="15" customHeight="1">
      <c r="A921" s="27">
        <v>915</v>
      </c>
      <c r="B921" s="27"/>
      <c r="C921" s="27"/>
      <c r="D921" s="27"/>
      <c r="E921" s="27"/>
      <c r="F921" s="27"/>
      <c r="G921" s="27"/>
      <c r="H921" s="27"/>
      <c r="I921" s="27"/>
      <c r="J921" s="27"/>
    </row>
    <row r="922" ht="15" customHeight="1">
      <c r="A922" s="26">
        <v>916</v>
      </c>
      <c r="B922" s="26"/>
      <c r="C922" s="26"/>
      <c r="D922" s="26"/>
      <c r="E922" s="26"/>
      <c r="F922" s="26"/>
      <c r="G922" s="26"/>
      <c r="H922" s="26"/>
      <c r="I922" s="26"/>
      <c r="J922" s="26"/>
    </row>
    <row r="923" ht="15" customHeight="1">
      <c r="A923" s="27">
        <v>917</v>
      </c>
      <c r="B923" s="27"/>
      <c r="C923" s="27"/>
      <c r="D923" s="27"/>
      <c r="E923" s="27"/>
      <c r="F923" s="27"/>
      <c r="G923" s="27"/>
      <c r="H923" s="27"/>
      <c r="I923" s="27"/>
      <c r="J923" s="27"/>
    </row>
    <row r="924" ht="15" customHeight="1">
      <c r="A924" s="26">
        <v>918</v>
      </c>
      <c r="B924" s="26"/>
      <c r="C924" s="26"/>
      <c r="D924" s="26"/>
      <c r="E924" s="26"/>
      <c r="F924" s="26"/>
      <c r="G924" s="26"/>
      <c r="H924" s="26"/>
      <c r="I924" s="26"/>
      <c r="J924" s="26"/>
    </row>
    <row r="925" ht="15" customHeight="1">
      <c r="A925" s="27">
        <v>919</v>
      </c>
      <c r="B925" s="27"/>
      <c r="C925" s="27"/>
      <c r="D925" s="27"/>
      <c r="E925" s="27"/>
      <c r="F925" s="27"/>
      <c r="G925" s="27"/>
      <c r="H925" s="27"/>
      <c r="I925" s="27"/>
      <c r="J925" s="27"/>
    </row>
    <row r="926" ht="15" customHeight="1">
      <c r="A926" s="26">
        <v>920</v>
      </c>
      <c r="B926" s="26"/>
      <c r="C926" s="26"/>
      <c r="D926" s="26"/>
      <c r="E926" s="26"/>
      <c r="F926" s="26"/>
      <c r="G926" s="26"/>
      <c r="H926" s="26"/>
      <c r="I926" s="26"/>
      <c r="J926" s="26"/>
    </row>
    <row r="927" ht="15" customHeight="1">
      <c r="A927" s="27">
        <v>921</v>
      </c>
      <c r="B927" s="27"/>
      <c r="C927" s="27"/>
      <c r="D927" s="27"/>
      <c r="E927" s="27"/>
      <c r="F927" s="27"/>
      <c r="G927" s="27"/>
      <c r="H927" s="27"/>
      <c r="I927" s="27"/>
      <c r="J927" s="27"/>
    </row>
    <row r="928" ht="15" customHeight="1">
      <c r="A928" s="26">
        <v>922</v>
      </c>
      <c r="B928" s="26"/>
      <c r="C928" s="26"/>
      <c r="D928" s="26"/>
      <c r="E928" s="26"/>
      <c r="F928" s="26"/>
      <c r="G928" s="26"/>
      <c r="H928" s="26"/>
      <c r="I928" s="26"/>
      <c r="J928" s="26"/>
    </row>
    <row r="929" ht="15" customHeight="1">
      <c r="A929" s="27">
        <v>923</v>
      </c>
      <c r="B929" s="27"/>
      <c r="C929" s="27"/>
      <c r="D929" s="27"/>
      <c r="E929" s="27"/>
      <c r="F929" s="27"/>
      <c r="G929" s="27"/>
      <c r="H929" s="27"/>
      <c r="I929" s="27"/>
      <c r="J929" s="27"/>
    </row>
    <row r="930" ht="15" customHeight="1">
      <c r="A930" s="26">
        <v>924</v>
      </c>
      <c r="B930" s="26"/>
      <c r="C930" s="26"/>
      <c r="D930" s="26"/>
      <c r="E930" s="26"/>
      <c r="F930" s="26"/>
      <c r="G930" s="26"/>
      <c r="H930" s="26"/>
      <c r="I930" s="26"/>
      <c r="J930" s="26"/>
    </row>
    <row r="931" ht="15" customHeight="1">
      <c r="A931" s="27">
        <v>925</v>
      </c>
      <c r="B931" s="27"/>
      <c r="C931" s="27"/>
      <c r="D931" s="27"/>
      <c r="E931" s="27"/>
      <c r="F931" s="27"/>
      <c r="G931" s="27"/>
      <c r="H931" s="27"/>
      <c r="I931" s="27"/>
      <c r="J931" s="27"/>
    </row>
    <row r="932" ht="15" customHeight="1">
      <c r="A932" s="26">
        <v>926</v>
      </c>
      <c r="B932" s="26"/>
      <c r="C932" s="26"/>
      <c r="D932" s="26"/>
      <c r="E932" s="26"/>
      <c r="F932" s="26"/>
      <c r="G932" s="26"/>
      <c r="H932" s="26"/>
      <c r="I932" s="26"/>
      <c r="J932" s="26"/>
    </row>
    <row r="933" ht="15" customHeight="1">
      <c r="A933" s="27">
        <v>927</v>
      </c>
      <c r="B933" s="27"/>
      <c r="C933" s="27"/>
      <c r="D933" s="27"/>
      <c r="E933" s="27"/>
      <c r="F933" s="27"/>
      <c r="G933" s="27"/>
      <c r="H933" s="27"/>
      <c r="I933" s="27"/>
      <c r="J933" s="27"/>
    </row>
    <row r="934" ht="15" customHeight="1">
      <c r="A934" s="26">
        <v>928</v>
      </c>
      <c r="B934" s="26"/>
      <c r="C934" s="26"/>
      <c r="D934" s="26"/>
      <c r="E934" s="26"/>
      <c r="F934" s="26"/>
      <c r="G934" s="26"/>
      <c r="H934" s="26"/>
      <c r="I934" s="26"/>
      <c r="J934" s="26"/>
    </row>
    <row r="935" ht="15" customHeight="1">
      <c r="A935" s="27">
        <v>929</v>
      </c>
      <c r="B935" s="27"/>
      <c r="C935" s="27"/>
      <c r="D935" s="27"/>
      <c r="E935" s="27"/>
      <c r="F935" s="27"/>
      <c r="G935" s="27"/>
      <c r="H935" s="27"/>
      <c r="I935" s="27"/>
      <c r="J935" s="27"/>
    </row>
    <row r="936" ht="15" customHeight="1">
      <c r="A936" s="26">
        <v>930</v>
      </c>
      <c r="B936" s="26"/>
      <c r="C936" s="26"/>
      <c r="D936" s="26"/>
      <c r="E936" s="26"/>
      <c r="F936" s="26"/>
      <c r="G936" s="26"/>
      <c r="H936" s="26"/>
      <c r="I936" s="26"/>
      <c r="J936" s="26"/>
    </row>
    <row r="937" ht="15" customHeight="1">
      <c r="A937" s="27">
        <v>931</v>
      </c>
      <c r="B937" s="27"/>
      <c r="C937" s="27"/>
      <c r="D937" s="27"/>
      <c r="E937" s="27"/>
      <c r="F937" s="27"/>
      <c r="G937" s="27"/>
      <c r="H937" s="27"/>
      <c r="I937" s="27"/>
      <c r="J937" s="27"/>
    </row>
    <row r="938" ht="15" customHeight="1">
      <c r="A938" s="26">
        <v>932</v>
      </c>
      <c r="B938" s="26"/>
      <c r="C938" s="26"/>
      <c r="D938" s="26"/>
      <c r="E938" s="26"/>
      <c r="F938" s="26"/>
      <c r="G938" s="26"/>
      <c r="H938" s="26"/>
      <c r="I938" s="26"/>
      <c r="J938" s="26"/>
    </row>
    <row r="939" ht="15" customHeight="1">
      <c r="A939" s="27">
        <v>933</v>
      </c>
      <c r="B939" s="27"/>
      <c r="C939" s="27"/>
      <c r="D939" s="27"/>
      <c r="E939" s="27"/>
      <c r="F939" s="27"/>
      <c r="G939" s="27"/>
      <c r="H939" s="27"/>
      <c r="I939" s="27"/>
      <c r="J939" s="27"/>
    </row>
    <row r="940" ht="15" customHeight="1">
      <c r="A940" s="26">
        <v>934</v>
      </c>
      <c r="B940" s="26"/>
      <c r="C940" s="26"/>
      <c r="D940" s="26"/>
      <c r="E940" s="26"/>
      <c r="F940" s="26"/>
      <c r="G940" s="26"/>
      <c r="H940" s="26"/>
      <c r="I940" s="26"/>
      <c r="J940" s="26"/>
    </row>
    <row r="941" ht="15" customHeight="1">
      <c r="A941" s="27">
        <v>935</v>
      </c>
      <c r="B941" s="27"/>
      <c r="C941" s="27"/>
      <c r="D941" s="27"/>
      <c r="E941" s="27"/>
      <c r="F941" s="27"/>
      <c r="G941" s="27"/>
      <c r="H941" s="27"/>
      <c r="I941" s="27"/>
      <c r="J941" s="27"/>
    </row>
    <row r="942" ht="15" customHeight="1">
      <c r="A942" s="26">
        <v>936</v>
      </c>
      <c r="B942" s="26"/>
      <c r="C942" s="26"/>
      <c r="D942" s="26"/>
      <c r="E942" s="26"/>
      <c r="F942" s="26"/>
      <c r="G942" s="26"/>
      <c r="H942" s="26"/>
      <c r="I942" s="26"/>
      <c r="J942" s="26"/>
    </row>
    <row r="943" ht="15" customHeight="1">
      <c r="A943" s="27">
        <v>937</v>
      </c>
      <c r="B943" s="27"/>
      <c r="C943" s="27"/>
      <c r="D943" s="27"/>
      <c r="E943" s="27"/>
      <c r="F943" s="27"/>
      <c r="G943" s="27"/>
      <c r="H943" s="27"/>
      <c r="I943" s="27"/>
      <c r="J943" s="27"/>
    </row>
    <row r="944" ht="15" customHeight="1">
      <c r="A944" s="26">
        <v>938</v>
      </c>
      <c r="B944" s="26"/>
      <c r="C944" s="26"/>
      <c r="D944" s="26"/>
      <c r="E944" s="26"/>
      <c r="F944" s="26"/>
      <c r="G944" s="26"/>
      <c r="H944" s="26"/>
      <c r="I944" s="26"/>
      <c r="J944" s="26"/>
    </row>
    <row r="945" ht="15" customHeight="1">
      <c r="A945" s="27">
        <v>939</v>
      </c>
      <c r="B945" s="27"/>
      <c r="C945" s="27"/>
      <c r="D945" s="27"/>
      <c r="E945" s="27"/>
      <c r="F945" s="27"/>
      <c r="G945" s="27"/>
      <c r="H945" s="27"/>
      <c r="I945" s="27"/>
      <c r="J945" s="27"/>
    </row>
    <row r="946" ht="15" customHeight="1">
      <c r="A946" s="26">
        <v>940</v>
      </c>
      <c r="B946" s="26"/>
      <c r="C946" s="26"/>
      <c r="D946" s="26"/>
      <c r="E946" s="26"/>
      <c r="F946" s="26"/>
      <c r="G946" s="26"/>
      <c r="H946" s="26"/>
      <c r="I946" s="26"/>
      <c r="J946" s="26"/>
    </row>
    <row r="947" ht="15" customHeight="1">
      <c r="A947" s="27">
        <v>941</v>
      </c>
      <c r="B947" s="27"/>
      <c r="C947" s="27"/>
      <c r="D947" s="27"/>
      <c r="E947" s="27"/>
      <c r="F947" s="27"/>
      <c r="G947" s="27"/>
      <c r="H947" s="27"/>
      <c r="I947" s="27"/>
      <c r="J947" s="27"/>
    </row>
    <row r="948" ht="15" customHeight="1">
      <c r="A948" s="26">
        <v>942</v>
      </c>
      <c r="B948" s="26"/>
      <c r="C948" s="26"/>
      <c r="D948" s="26"/>
      <c r="E948" s="26"/>
      <c r="F948" s="26"/>
      <c r="G948" s="26"/>
      <c r="H948" s="26"/>
      <c r="I948" s="26"/>
      <c r="J948" s="26"/>
    </row>
    <row r="949" ht="15" customHeight="1">
      <c r="A949" s="27">
        <v>943</v>
      </c>
      <c r="B949" s="27"/>
      <c r="C949" s="27"/>
      <c r="D949" s="27"/>
      <c r="E949" s="27"/>
      <c r="F949" s="27"/>
      <c r="G949" s="27"/>
      <c r="H949" s="27"/>
      <c r="I949" s="27"/>
      <c r="J949" s="27"/>
    </row>
    <row r="950" ht="15" customHeight="1">
      <c r="A950" s="26">
        <v>944</v>
      </c>
      <c r="B950" s="26"/>
      <c r="C950" s="26"/>
      <c r="D950" s="26"/>
      <c r="E950" s="26"/>
      <c r="F950" s="26"/>
      <c r="G950" s="26"/>
      <c r="H950" s="26"/>
      <c r="I950" s="26"/>
      <c r="J950" s="26"/>
    </row>
    <row r="951" ht="15" customHeight="1">
      <c r="A951" s="27">
        <v>945</v>
      </c>
      <c r="B951" s="27"/>
      <c r="C951" s="27"/>
      <c r="D951" s="27"/>
      <c r="E951" s="27"/>
      <c r="F951" s="27"/>
      <c r="G951" s="27"/>
      <c r="H951" s="27"/>
      <c r="I951" s="27"/>
      <c r="J951" s="27"/>
    </row>
    <row r="952" ht="15" customHeight="1">
      <c r="A952" s="26">
        <v>946</v>
      </c>
      <c r="B952" s="26"/>
      <c r="C952" s="26"/>
      <c r="D952" s="26"/>
      <c r="E952" s="26"/>
      <c r="F952" s="26"/>
      <c r="G952" s="26"/>
      <c r="H952" s="26"/>
      <c r="I952" s="26"/>
      <c r="J952" s="26"/>
    </row>
    <row r="953" ht="15" customHeight="1">
      <c r="A953" s="27">
        <v>947</v>
      </c>
      <c r="B953" s="27"/>
      <c r="C953" s="27"/>
      <c r="D953" s="27"/>
      <c r="E953" s="27"/>
      <c r="F953" s="27"/>
      <c r="G953" s="27"/>
      <c r="H953" s="27"/>
      <c r="I953" s="27"/>
      <c r="J953" s="27"/>
    </row>
    <row r="954" ht="15" customHeight="1">
      <c r="A954" s="26">
        <v>948</v>
      </c>
      <c r="B954" s="26"/>
      <c r="C954" s="26"/>
      <c r="D954" s="26"/>
      <c r="E954" s="26"/>
      <c r="F954" s="26"/>
      <c r="G954" s="26"/>
      <c r="H954" s="26"/>
      <c r="I954" s="26"/>
      <c r="J954" s="26"/>
    </row>
    <row r="955" ht="15" customHeight="1">
      <c r="A955" s="27">
        <v>949</v>
      </c>
      <c r="B955" s="27"/>
      <c r="C955" s="27"/>
      <c r="D955" s="27"/>
      <c r="E955" s="27"/>
      <c r="F955" s="27"/>
      <c r="G955" s="27"/>
      <c r="H955" s="27"/>
      <c r="I955" s="27"/>
      <c r="J955" s="27"/>
    </row>
    <row r="956" ht="15" customHeight="1">
      <c r="A956" s="26">
        <v>950</v>
      </c>
      <c r="B956" s="26"/>
      <c r="C956" s="26"/>
      <c r="D956" s="26"/>
      <c r="E956" s="26"/>
      <c r="F956" s="26"/>
      <c r="G956" s="26"/>
      <c r="H956" s="26"/>
      <c r="I956" s="26"/>
      <c r="J956" s="26"/>
    </row>
    <row r="957" ht="15" customHeight="1">
      <c r="A957" s="27">
        <v>951</v>
      </c>
      <c r="B957" s="27"/>
      <c r="C957" s="27"/>
      <c r="D957" s="27"/>
      <c r="E957" s="27"/>
      <c r="F957" s="27"/>
      <c r="G957" s="27"/>
      <c r="H957" s="27"/>
      <c r="I957" s="27"/>
      <c r="J957" s="27"/>
    </row>
    <row r="958" ht="15" customHeight="1">
      <c r="A958" s="26">
        <v>952</v>
      </c>
      <c r="B958" s="26"/>
      <c r="C958" s="26"/>
      <c r="D958" s="26"/>
      <c r="E958" s="26"/>
      <c r="F958" s="26"/>
      <c r="G958" s="26"/>
      <c r="H958" s="26"/>
      <c r="I958" s="26"/>
      <c r="J958" s="26"/>
    </row>
    <row r="959" ht="15" customHeight="1">
      <c r="A959" s="27">
        <v>953</v>
      </c>
      <c r="B959" s="27"/>
      <c r="C959" s="27"/>
      <c r="D959" s="27"/>
      <c r="E959" s="27"/>
      <c r="F959" s="27"/>
      <c r="G959" s="27"/>
      <c r="H959" s="27"/>
      <c r="I959" s="27"/>
      <c r="J959" s="27"/>
    </row>
    <row r="960" ht="15" customHeight="1">
      <c r="A960" s="26">
        <v>954</v>
      </c>
      <c r="B960" s="26"/>
      <c r="C960" s="26"/>
      <c r="D960" s="26"/>
      <c r="E960" s="26"/>
      <c r="F960" s="26"/>
      <c r="G960" s="26"/>
      <c r="H960" s="26"/>
      <c r="I960" s="26"/>
      <c r="J960" s="26"/>
    </row>
    <row r="961" ht="15" customHeight="1">
      <c r="A961" s="27">
        <v>955</v>
      </c>
      <c r="B961" s="27"/>
      <c r="C961" s="27"/>
      <c r="D961" s="27"/>
      <c r="E961" s="27"/>
      <c r="F961" s="27"/>
      <c r="G961" s="27"/>
      <c r="H961" s="27"/>
      <c r="I961" s="27"/>
      <c r="J961" s="27"/>
    </row>
    <row r="962" ht="15" customHeight="1">
      <c r="A962" s="26">
        <v>956</v>
      </c>
      <c r="B962" s="26"/>
      <c r="C962" s="26"/>
      <c r="D962" s="26"/>
      <c r="E962" s="26"/>
      <c r="F962" s="26"/>
      <c r="G962" s="26"/>
      <c r="H962" s="26"/>
      <c r="I962" s="26"/>
      <c r="J962" s="26"/>
    </row>
    <row r="963" ht="15" customHeight="1">
      <c r="A963" s="27">
        <v>957</v>
      </c>
      <c r="B963" s="27"/>
      <c r="C963" s="27"/>
      <c r="D963" s="27"/>
      <c r="E963" s="27"/>
      <c r="F963" s="27"/>
      <c r="G963" s="27"/>
      <c r="H963" s="27"/>
      <c r="I963" s="27"/>
      <c r="J963" s="27"/>
    </row>
    <row r="964" ht="15" customHeight="1">
      <c r="A964" s="26">
        <v>958</v>
      </c>
      <c r="B964" s="26"/>
      <c r="C964" s="26"/>
      <c r="D964" s="26"/>
      <c r="E964" s="26"/>
      <c r="F964" s="26"/>
      <c r="G964" s="26"/>
      <c r="H964" s="26"/>
      <c r="I964" s="26"/>
      <c r="J964" s="26"/>
    </row>
    <row r="965" ht="15" customHeight="1">
      <c r="A965" s="27">
        <v>959</v>
      </c>
      <c r="B965" s="27"/>
      <c r="C965" s="27"/>
      <c r="D965" s="27"/>
      <c r="E965" s="27"/>
      <c r="F965" s="27"/>
      <c r="G965" s="27"/>
      <c r="H965" s="27"/>
      <c r="I965" s="27"/>
      <c r="J965" s="27"/>
    </row>
    <row r="966" ht="15" customHeight="1">
      <c r="A966" s="26">
        <v>960</v>
      </c>
      <c r="B966" s="26"/>
      <c r="C966" s="26"/>
      <c r="D966" s="26"/>
      <c r="E966" s="26"/>
      <c r="F966" s="26"/>
      <c r="G966" s="26"/>
      <c r="H966" s="26"/>
      <c r="I966" s="26"/>
      <c r="J966" s="26"/>
    </row>
    <row r="967" ht="15" customHeight="1">
      <c r="A967" s="27">
        <v>961</v>
      </c>
      <c r="B967" s="27"/>
      <c r="C967" s="27"/>
      <c r="D967" s="27"/>
      <c r="E967" s="27"/>
      <c r="F967" s="27"/>
      <c r="G967" s="27"/>
      <c r="H967" s="27"/>
      <c r="I967" s="27"/>
      <c r="J967" s="27"/>
    </row>
    <row r="968" ht="15" customHeight="1">
      <c r="A968" s="26">
        <v>962</v>
      </c>
      <c r="B968" s="26"/>
      <c r="C968" s="26"/>
      <c r="D968" s="26"/>
      <c r="E968" s="26"/>
      <c r="F968" s="26"/>
      <c r="G968" s="26"/>
      <c r="H968" s="26"/>
      <c r="I968" s="26"/>
      <c r="J968" s="26"/>
    </row>
    <row r="969" ht="15" customHeight="1">
      <c r="A969" s="27">
        <v>963</v>
      </c>
      <c r="B969" s="27"/>
      <c r="C969" s="27"/>
      <c r="D969" s="27"/>
      <c r="E969" s="27"/>
      <c r="F969" s="27"/>
      <c r="G969" s="27"/>
      <c r="H969" s="27"/>
      <c r="I969" s="27"/>
      <c r="J969" s="27"/>
    </row>
    <row r="970" ht="15" customHeight="1">
      <c r="A970" s="26">
        <v>964</v>
      </c>
      <c r="B970" s="26"/>
      <c r="C970" s="26"/>
      <c r="D970" s="26"/>
      <c r="E970" s="26"/>
      <c r="F970" s="26"/>
      <c r="G970" s="26"/>
      <c r="H970" s="26"/>
      <c r="I970" s="26"/>
      <c r="J970" s="26"/>
    </row>
    <row r="971" ht="15" customHeight="1">
      <c r="A971" s="27">
        <v>965</v>
      </c>
      <c r="B971" s="27"/>
      <c r="C971" s="27"/>
      <c r="D971" s="27"/>
      <c r="E971" s="27"/>
      <c r="F971" s="27"/>
      <c r="G971" s="27"/>
      <c r="H971" s="27"/>
      <c r="I971" s="27"/>
      <c r="J971" s="27"/>
    </row>
    <row r="972" ht="15" customHeight="1">
      <c r="A972" s="26">
        <v>966</v>
      </c>
      <c r="B972" s="26"/>
      <c r="C972" s="26"/>
      <c r="D972" s="26"/>
      <c r="E972" s="26"/>
      <c r="F972" s="26"/>
      <c r="G972" s="26"/>
      <c r="H972" s="26"/>
      <c r="I972" s="26"/>
      <c r="J972" s="26"/>
    </row>
    <row r="973" ht="15" customHeight="1">
      <c r="A973" s="27">
        <v>967</v>
      </c>
      <c r="B973" s="27"/>
      <c r="C973" s="27"/>
      <c r="D973" s="27"/>
      <c r="E973" s="27"/>
      <c r="F973" s="27"/>
      <c r="G973" s="27"/>
      <c r="H973" s="27"/>
      <c r="I973" s="27"/>
      <c r="J973" s="27"/>
    </row>
    <row r="974" ht="15" customHeight="1">
      <c r="A974" s="26">
        <v>968</v>
      </c>
      <c r="B974" s="26"/>
      <c r="C974" s="26"/>
      <c r="D974" s="26"/>
      <c r="E974" s="26"/>
      <c r="F974" s="26"/>
      <c r="G974" s="26"/>
      <c r="H974" s="26"/>
      <c r="I974" s="26"/>
      <c r="J974" s="26"/>
    </row>
    <row r="975" ht="15" customHeight="1">
      <c r="A975" s="27">
        <v>969</v>
      </c>
      <c r="B975" s="27"/>
      <c r="C975" s="27"/>
      <c r="D975" s="27"/>
      <c r="E975" s="27"/>
      <c r="F975" s="27"/>
      <c r="G975" s="27"/>
      <c r="H975" s="27"/>
      <c r="I975" s="27"/>
      <c r="J975" s="27"/>
    </row>
    <row r="976" ht="15" customHeight="1">
      <c r="A976" s="26">
        <v>970</v>
      </c>
      <c r="B976" s="26"/>
      <c r="C976" s="26"/>
      <c r="D976" s="26"/>
      <c r="E976" s="26"/>
      <c r="F976" s="26"/>
      <c r="G976" s="26"/>
      <c r="H976" s="26"/>
      <c r="I976" s="26"/>
      <c r="J976" s="26"/>
    </row>
    <row r="977" ht="15" customHeight="1">
      <c r="A977" s="27">
        <v>971</v>
      </c>
      <c r="B977" s="27"/>
      <c r="C977" s="27"/>
      <c r="D977" s="27"/>
      <c r="E977" s="27"/>
      <c r="F977" s="27"/>
      <c r="G977" s="27"/>
      <c r="H977" s="27"/>
      <c r="I977" s="27"/>
      <c r="J977" s="27"/>
    </row>
    <row r="978" ht="15" customHeight="1">
      <c r="A978" s="26">
        <v>972</v>
      </c>
      <c r="B978" s="26"/>
      <c r="C978" s="26"/>
      <c r="D978" s="26"/>
      <c r="E978" s="26"/>
      <c r="F978" s="26"/>
      <c r="G978" s="26"/>
      <c r="H978" s="26"/>
      <c r="I978" s="26"/>
      <c r="J978" s="26"/>
    </row>
    <row r="979" ht="15" customHeight="1">
      <c r="A979" s="27">
        <v>973</v>
      </c>
      <c r="B979" s="27"/>
      <c r="C979" s="27"/>
      <c r="D979" s="27"/>
      <c r="E979" s="27"/>
      <c r="F979" s="27"/>
      <c r="G979" s="27"/>
      <c r="H979" s="27"/>
      <c r="I979" s="27"/>
      <c r="J979" s="27"/>
    </row>
    <row r="980" ht="15" customHeight="1">
      <c r="A980" s="26">
        <v>974</v>
      </c>
      <c r="B980" s="26"/>
      <c r="C980" s="26"/>
      <c r="D980" s="26"/>
      <c r="E980" s="26"/>
      <c r="F980" s="26"/>
      <c r="G980" s="26"/>
      <c r="H980" s="26"/>
      <c r="I980" s="26"/>
      <c r="J980" s="26"/>
    </row>
    <row r="981" ht="15" customHeight="1">
      <c r="A981" s="27">
        <v>975</v>
      </c>
      <c r="B981" s="27"/>
      <c r="C981" s="27"/>
      <c r="D981" s="27"/>
      <c r="E981" s="27"/>
      <c r="F981" s="27"/>
      <c r="G981" s="27"/>
      <c r="H981" s="27"/>
      <c r="I981" s="27"/>
      <c r="J981" s="27"/>
    </row>
    <row r="982" ht="15" customHeight="1">
      <c r="A982" s="26">
        <v>976</v>
      </c>
      <c r="B982" s="26"/>
      <c r="C982" s="26"/>
      <c r="D982" s="26"/>
      <c r="E982" s="26"/>
      <c r="F982" s="26"/>
      <c r="G982" s="26"/>
      <c r="H982" s="26"/>
      <c r="I982" s="26"/>
      <c r="J982" s="26"/>
    </row>
    <row r="983" ht="15" customHeight="1">
      <c r="A983" s="27">
        <v>977</v>
      </c>
      <c r="B983" s="27"/>
      <c r="C983" s="27"/>
      <c r="D983" s="27"/>
      <c r="E983" s="27"/>
      <c r="F983" s="27"/>
      <c r="G983" s="27"/>
      <c r="H983" s="27"/>
      <c r="I983" s="27"/>
      <c r="J983" s="27"/>
    </row>
    <row r="984" ht="15" customHeight="1">
      <c r="A984" s="26">
        <v>978</v>
      </c>
      <c r="B984" s="26"/>
      <c r="C984" s="26"/>
      <c r="D984" s="26"/>
      <c r="E984" s="26"/>
      <c r="F984" s="26"/>
      <c r="G984" s="26"/>
      <c r="H984" s="26"/>
      <c r="I984" s="26"/>
      <c r="J984" s="26"/>
    </row>
    <row r="985" ht="15" customHeight="1">
      <c r="A985" s="27">
        <v>979</v>
      </c>
      <c r="B985" s="27"/>
      <c r="C985" s="27"/>
      <c r="D985" s="27"/>
      <c r="E985" s="27"/>
      <c r="F985" s="27"/>
      <c r="G985" s="27"/>
      <c r="H985" s="27"/>
      <c r="I985" s="27"/>
      <c r="J985" s="27"/>
    </row>
    <row r="986" ht="15" customHeight="1">
      <c r="A986" s="26">
        <v>980</v>
      </c>
      <c r="B986" s="26"/>
      <c r="C986" s="26"/>
      <c r="D986" s="26"/>
      <c r="E986" s="26"/>
      <c r="F986" s="26"/>
      <c r="G986" s="26"/>
      <c r="H986" s="26"/>
      <c r="I986" s="26"/>
      <c r="J986" s="26"/>
    </row>
    <row r="987" ht="15" customHeight="1">
      <c r="A987" s="27">
        <v>981</v>
      </c>
      <c r="B987" s="27"/>
      <c r="C987" s="27"/>
      <c r="D987" s="27"/>
      <c r="E987" s="27"/>
      <c r="F987" s="27"/>
      <c r="G987" s="27"/>
      <c r="H987" s="27"/>
      <c r="I987" s="27"/>
      <c r="J987" s="27"/>
    </row>
    <row r="988" ht="15" customHeight="1">
      <c r="A988" s="26">
        <v>982</v>
      </c>
      <c r="B988" s="26"/>
      <c r="C988" s="26"/>
      <c r="D988" s="26"/>
      <c r="E988" s="26"/>
      <c r="F988" s="26"/>
      <c r="G988" s="26"/>
      <c r="H988" s="26"/>
      <c r="I988" s="26"/>
      <c r="J988" s="26"/>
    </row>
    <row r="989" ht="15" customHeight="1">
      <c r="A989" s="27">
        <v>983</v>
      </c>
      <c r="B989" s="27"/>
      <c r="C989" s="27"/>
      <c r="D989" s="27"/>
      <c r="E989" s="27"/>
      <c r="F989" s="27"/>
      <c r="G989" s="27"/>
      <c r="H989" s="27"/>
      <c r="I989" s="27"/>
      <c r="J989" s="27"/>
    </row>
    <row r="990" ht="15" customHeight="1">
      <c r="A990" s="26">
        <v>984</v>
      </c>
      <c r="B990" s="26"/>
      <c r="C990" s="26"/>
      <c r="D990" s="26"/>
      <c r="E990" s="26"/>
      <c r="F990" s="26"/>
      <c r="G990" s="26"/>
      <c r="H990" s="26"/>
      <c r="I990" s="26"/>
      <c r="J990" s="26"/>
    </row>
    <row r="991" ht="15" customHeight="1">
      <c r="A991" s="27">
        <v>985</v>
      </c>
      <c r="B991" s="27"/>
      <c r="C991" s="27"/>
      <c r="D991" s="27"/>
      <c r="E991" s="27"/>
      <c r="F991" s="27"/>
      <c r="G991" s="27"/>
      <c r="H991" s="27"/>
      <c r="I991" s="27"/>
      <c r="J991" s="27"/>
    </row>
    <row r="992" ht="15" customHeight="1">
      <c r="A992" s="26">
        <v>986</v>
      </c>
      <c r="B992" s="26"/>
      <c r="C992" s="26"/>
      <c r="D992" s="26"/>
      <c r="E992" s="26"/>
      <c r="F992" s="26"/>
      <c r="G992" s="26"/>
      <c r="H992" s="26"/>
      <c r="I992" s="26"/>
      <c r="J992" s="26"/>
    </row>
    <row r="993" ht="15" customHeight="1">
      <c r="A993" s="27">
        <v>987</v>
      </c>
      <c r="B993" s="27"/>
      <c r="C993" s="27"/>
      <c r="D993" s="27"/>
      <c r="E993" s="27"/>
      <c r="F993" s="27"/>
      <c r="G993" s="27"/>
      <c r="H993" s="27"/>
      <c r="I993" s="27"/>
      <c r="J993" s="27"/>
    </row>
    <row r="994" ht="15" customHeight="1">
      <c r="A994" s="26">
        <v>988</v>
      </c>
      <c r="B994" s="26"/>
      <c r="C994" s="26"/>
      <c r="D994" s="26"/>
      <c r="E994" s="26"/>
      <c r="F994" s="26"/>
      <c r="G994" s="26"/>
      <c r="H994" s="26"/>
      <c r="I994" s="26"/>
      <c r="J994" s="26"/>
    </row>
    <row r="995" ht="15" customHeight="1">
      <c r="A995" s="27">
        <v>989</v>
      </c>
      <c r="B995" s="27"/>
      <c r="C995" s="27"/>
      <c r="D995" s="27"/>
      <c r="E995" s="27"/>
      <c r="F995" s="27"/>
      <c r="G995" s="27"/>
      <c r="H995" s="27"/>
      <c r="I995" s="27"/>
      <c r="J995" s="27"/>
    </row>
    <row r="996" ht="15" customHeight="1">
      <c r="A996" s="26">
        <v>990</v>
      </c>
      <c r="B996" s="26"/>
      <c r="C996" s="26"/>
      <c r="D996" s="26"/>
      <c r="E996" s="26"/>
      <c r="F996" s="26"/>
      <c r="G996" s="26"/>
      <c r="H996" s="26"/>
      <c r="I996" s="26"/>
      <c r="J996" s="26"/>
    </row>
    <row r="997" ht="15" customHeight="1">
      <c r="A997" s="27">
        <v>991</v>
      </c>
      <c r="B997" s="27"/>
      <c r="C997" s="27"/>
      <c r="D997" s="27"/>
      <c r="E997" s="27"/>
      <c r="F997" s="27"/>
      <c r="G997" s="27"/>
      <c r="H997" s="27"/>
      <c r="I997" s="27"/>
      <c r="J997" s="27"/>
    </row>
    <row r="998" ht="15" customHeight="1">
      <c r="A998" s="26">
        <v>992</v>
      </c>
      <c r="B998" s="26"/>
      <c r="C998" s="26"/>
      <c r="D998" s="26"/>
      <c r="E998" s="26"/>
      <c r="F998" s="26"/>
      <c r="G998" s="26"/>
      <c r="H998" s="26"/>
      <c r="I998" s="26"/>
      <c r="J998" s="26"/>
    </row>
    <row r="999" ht="15" customHeight="1">
      <c r="A999" s="27">
        <v>993</v>
      </c>
      <c r="B999" s="27"/>
      <c r="C999" s="27"/>
      <c r="D999" s="27"/>
      <c r="E999" s="27"/>
      <c r="F999" s="27"/>
      <c r="G999" s="27"/>
      <c r="H999" s="27"/>
      <c r="I999" s="27"/>
      <c r="J999" s="27"/>
    </row>
    <row r="1000" ht="15" customHeight="1">
      <c r="A1000" s="26">
        <v>994</v>
      </c>
      <c r="B1000" s="26"/>
      <c r="C1000" s="26"/>
      <c r="D1000" s="26"/>
      <c r="E1000" s="26"/>
      <c r="F1000" s="26"/>
      <c r="G1000" s="26"/>
      <c r="H1000" s="26"/>
      <c r="I1000" s="26"/>
      <c r="J1000" s="26"/>
    </row>
    <row r="1001" ht="15" customHeight="1">
      <c r="A1001" s="27">
        <v>995</v>
      </c>
      <c r="B1001" s="27"/>
      <c r="C1001" s="27"/>
      <c r="D1001" s="27"/>
      <c r="E1001" s="27"/>
      <c r="F1001" s="27"/>
      <c r="G1001" s="27"/>
      <c r="H1001" s="27"/>
      <c r="I1001" s="27"/>
      <c r="J1001" s="27"/>
    </row>
    <row r="1002" ht="15" customHeight="1">
      <c r="A1002" s="26">
        <v>996</v>
      </c>
      <c r="B1002" s="26"/>
      <c r="C1002" s="26"/>
      <c r="D1002" s="26"/>
      <c r="E1002" s="26"/>
      <c r="F1002" s="26"/>
      <c r="G1002" s="26"/>
      <c r="H1002" s="26"/>
      <c r="I1002" s="26"/>
      <c r="J1002" s="26"/>
    </row>
    <row r="1003" ht="15" customHeight="1">
      <c r="A1003" s="27">
        <v>997</v>
      </c>
      <c r="B1003" s="27"/>
      <c r="C1003" s="27"/>
      <c r="D1003" s="27"/>
      <c r="E1003" s="27"/>
      <c r="F1003" s="27"/>
      <c r="G1003" s="27"/>
      <c r="H1003" s="27"/>
      <c r="I1003" s="27"/>
      <c r="J1003" s="27"/>
    </row>
    <row r="1004" ht="15" customHeight="1">
      <c r="A1004" s="26">
        <v>998</v>
      </c>
      <c r="B1004" s="26"/>
      <c r="C1004" s="26"/>
      <c r="D1004" s="26"/>
      <c r="E1004" s="26"/>
      <c r="F1004" s="26"/>
      <c r="G1004" s="26"/>
      <c r="H1004" s="26"/>
      <c r="I1004" s="26"/>
      <c r="J1004" s="26"/>
    </row>
    <row r="1005" ht="15" customHeight="1">
      <c r="A1005" s="27">
        <v>999</v>
      </c>
      <c r="B1005" s="27"/>
      <c r="C1005" s="27"/>
      <c r="D1005" s="27"/>
      <c r="E1005" s="27"/>
      <c r="F1005" s="27"/>
      <c r="G1005" s="27"/>
      <c r="H1005" s="27"/>
      <c r="I1005" s="27"/>
      <c r="J1005" s="27"/>
    </row>
    <row r="1006" ht="15" customHeight="1">
      <c r="A1006" s="26">
        <v>1000</v>
      </c>
      <c r="B1006" s="26"/>
      <c r="C1006" s="26"/>
      <c r="D1006" s="26"/>
      <c r="E1006" s="26"/>
      <c r="F1006" s="26"/>
      <c r="G1006" s="26"/>
      <c r="H1006" s="26"/>
      <c r="I1006" s="26"/>
      <c r="J1006" s="26"/>
    </row>
    <row r="1007" ht="15" customHeight="1">
      <c r="A1007" s="27">
        <v>1001</v>
      </c>
      <c r="B1007" s="27"/>
      <c r="C1007" s="27"/>
      <c r="D1007" s="27"/>
      <c r="E1007" s="27"/>
      <c r="F1007" s="27"/>
      <c r="G1007" s="27"/>
      <c r="H1007" s="27"/>
      <c r="I1007" s="27"/>
      <c r="J1007" s="27"/>
    </row>
    <row r="1008" ht="15" customHeight="1">
      <c r="A1008" s="26">
        <v>1002</v>
      </c>
      <c r="B1008" s="26"/>
      <c r="C1008" s="26"/>
      <c r="D1008" s="26"/>
      <c r="E1008" s="26"/>
      <c r="F1008" s="26"/>
      <c r="G1008" s="26"/>
      <c r="H1008" s="26"/>
      <c r="I1008" s="26"/>
      <c r="J1008" s="26"/>
    </row>
    <row r="1009" ht="15" customHeight="1">
      <c r="A1009" s="27">
        <v>1003</v>
      </c>
      <c r="B1009" s="27"/>
      <c r="C1009" s="27"/>
      <c r="D1009" s="27"/>
      <c r="E1009" s="27"/>
      <c r="F1009" s="27"/>
      <c r="G1009" s="27"/>
      <c r="H1009" s="27"/>
      <c r="I1009" s="27"/>
      <c r="J1009" s="27"/>
    </row>
    <row r="1010" ht="15" customHeight="1">
      <c r="A1010" s="26">
        <v>1004</v>
      </c>
      <c r="B1010" s="26"/>
      <c r="C1010" s="26"/>
      <c r="D1010" s="26"/>
      <c r="E1010" s="26"/>
      <c r="F1010" s="26"/>
      <c r="G1010" s="26"/>
      <c r="H1010" s="26"/>
      <c r="I1010" s="26"/>
      <c r="J1010" s="26"/>
    </row>
    <row r="1011" ht="15" customHeight="1">
      <c r="A1011" s="27">
        <v>1005</v>
      </c>
      <c r="B1011" s="27"/>
      <c r="C1011" s="27"/>
      <c r="D1011" s="27"/>
      <c r="E1011" s="27"/>
      <c r="F1011" s="27"/>
      <c r="G1011" s="27"/>
      <c r="H1011" s="27"/>
      <c r="I1011" s="27"/>
      <c r="J1011" s="27"/>
    </row>
    <row r="1012" ht="15" customHeight="1">
      <c r="A1012" s="26">
        <v>1006</v>
      </c>
      <c r="B1012" s="26"/>
      <c r="C1012" s="26"/>
      <c r="D1012" s="26"/>
      <c r="E1012" s="26"/>
      <c r="F1012" s="26"/>
      <c r="G1012" s="26"/>
      <c r="H1012" s="26"/>
      <c r="I1012" s="26"/>
      <c r="J1012" s="26"/>
    </row>
    <row r="1013" ht="15" customHeight="1">
      <c r="A1013" s="27">
        <v>1007</v>
      </c>
      <c r="B1013" s="27"/>
      <c r="C1013" s="27"/>
      <c r="D1013" s="27"/>
      <c r="E1013" s="27"/>
      <c r="F1013" s="27"/>
      <c r="G1013" s="27"/>
      <c r="H1013" s="27"/>
      <c r="I1013" s="27"/>
      <c r="J1013" s="27"/>
    </row>
    <row r="1014" ht="15" customHeight="1">
      <c r="A1014" s="26">
        <v>1008</v>
      </c>
      <c r="B1014" s="26"/>
      <c r="C1014" s="26"/>
      <c r="D1014" s="26"/>
      <c r="E1014" s="26"/>
      <c r="F1014" s="26"/>
      <c r="G1014" s="26"/>
      <c r="H1014" s="26"/>
      <c r="I1014" s="26"/>
      <c r="J1014" s="26"/>
    </row>
    <row r="1015" ht="15" customHeight="1">
      <c r="A1015" s="27">
        <v>1009</v>
      </c>
      <c r="B1015" s="27"/>
      <c r="C1015" s="27"/>
      <c r="D1015" s="27"/>
      <c r="E1015" s="27"/>
      <c r="F1015" s="27"/>
      <c r="G1015" s="27"/>
      <c r="H1015" s="27"/>
      <c r="I1015" s="27"/>
      <c r="J1015" s="27"/>
    </row>
    <row r="1016" ht="15" customHeight="1">
      <c r="A1016" s="26">
        <v>1010</v>
      </c>
      <c r="B1016" s="26"/>
      <c r="C1016" s="26"/>
      <c r="D1016" s="26"/>
      <c r="E1016" s="26"/>
      <c r="F1016" s="26"/>
      <c r="G1016" s="26"/>
      <c r="H1016" s="26"/>
      <c r="I1016" s="26"/>
      <c r="J1016" s="26"/>
    </row>
    <row r="1017" ht="15" customHeight="1">
      <c r="A1017" s="27">
        <v>1011</v>
      </c>
      <c r="B1017" s="27"/>
      <c r="C1017" s="27"/>
      <c r="D1017" s="27"/>
      <c r="E1017" s="27"/>
      <c r="F1017" s="27"/>
      <c r="G1017" s="27"/>
      <c r="H1017" s="27"/>
      <c r="I1017" s="27"/>
      <c r="J1017" s="27"/>
    </row>
    <row r="1018" ht="15" customHeight="1">
      <c r="A1018" s="26">
        <v>1012</v>
      </c>
      <c r="B1018" s="26"/>
      <c r="C1018" s="26"/>
      <c r="D1018" s="26"/>
      <c r="E1018" s="26"/>
      <c r="F1018" s="26"/>
      <c r="G1018" s="26"/>
      <c r="H1018" s="26"/>
      <c r="I1018" s="26"/>
      <c r="J1018" s="26"/>
    </row>
    <row r="1019" ht="15" customHeight="1">
      <c r="A1019" s="27">
        <v>1013</v>
      </c>
      <c r="B1019" s="27"/>
      <c r="C1019" s="27"/>
      <c r="D1019" s="27"/>
      <c r="E1019" s="27"/>
      <c r="F1019" s="27"/>
      <c r="G1019" s="27"/>
      <c r="H1019" s="27"/>
      <c r="I1019" s="27"/>
      <c r="J1019" s="27"/>
    </row>
    <row r="1020" ht="15" customHeight="1">
      <c r="A1020" s="26">
        <v>1014</v>
      </c>
      <c r="B1020" s="26"/>
      <c r="C1020" s="26"/>
      <c r="D1020" s="26"/>
      <c r="E1020" s="26"/>
      <c r="F1020" s="26"/>
      <c r="G1020" s="26"/>
      <c r="H1020" s="26"/>
      <c r="I1020" s="26"/>
      <c r="J1020" s="26"/>
    </row>
    <row r="1021" ht="15" customHeight="1">
      <c r="A1021" s="27">
        <v>1015</v>
      </c>
      <c r="B1021" s="27"/>
      <c r="C1021" s="27"/>
      <c r="D1021" s="27"/>
      <c r="E1021" s="27"/>
      <c r="F1021" s="27"/>
      <c r="G1021" s="27"/>
      <c r="H1021" s="27"/>
      <c r="I1021" s="27"/>
      <c r="J1021" s="27"/>
    </row>
    <row r="1022" ht="15" customHeight="1">
      <c r="A1022" s="26">
        <v>1016</v>
      </c>
      <c r="B1022" s="26"/>
      <c r="C1022" s="26"/>
      <c r="D1022" s="26"/>
      <c r="E1022" s="26"/>
      <c r="F1022" s="26"/>
      <c r="G1022" s="26"/>
      <c r="H1022" s="26"/>
      <c r="I1022" s="26"/>
      <c r="J1022" s="26"/>
    </row>
    <row r="1023" ht="15" customHeight="1">
      <c r="A1023" s="27">
        <v>1017</v>
      </c>
      <c r="B1023" s="27"/>
      <c r="C1023" s="27"/>
      <c r="D1023" s="27"/>
      <c r="E1023" s="27"/>
      <c r="F1023" s="27"/>
      <c r="G1023" s="27"/>
      <c r="H1023" s="27"/>
      <c r="I1023" s="27"/>
      <c r="J1023" s="27"/>
    </row>
    <row r="1024" ht="15" customHeight="1">
      <c r="A1024" s="26">
        <v>1018</v>
      </c>
      <c r="B1024" s="26"/>
      <c r="C1024" s="26"/>
      <c r="D1024" s="26"/>
      <c r="E1024" s="26"/>
      <c r="F1024" s="26"/>
      <c r="G1024" s="26"/>
      <c r="H1024" s="26"/>
      <c r="I1024" s="26"/>
      <c r="J1024" s="26"/>
    </row>
    <row r="1025" ht="15" customHeight="1">
      <c r="A1025" s="27">
        <v>1019</v>
      </c>
      <c r="B1025" s="27"/>
      <c r="C1025" s="27"/>
      <c r="D1025" s="27"/>
      <c r="E1025" s="27"/>
      <c r="F1025" s="27"/>
      <c r="G1025" s="27"/>
      <c r="H1025" s="27"/>
      <c r="I1025" s="27"/>
      <c r="J1025" s="27"/>
    </row>
    <row r="1026" ht="15" customHeight="1">
      <c r="A1026" s="26">
        <v>1020</v>
      </c>
      <c r="B1026" s="26"/>
      <c r="C1026" s="26"/>
      <c r="D1026" s="26"/>
      <c r="E1026" s="26"/>
      <c r="F1026" s="26"/>
      <c r="G1026" s="26"/>
      <c r="H1026" s="26"/>
      <c r="I1026" s="26"/>
      <c r="J1026" s="26"/>
    </row>
    <row r="1027" ht="15" customHeight="1">
      <c r="A1027" s="27">
        <v>1021</v>
      </c>
      <c r="B1027" s="27"/>
      <c r="C1027" s="27"/>
      <c r="D1027" s="27"/>
      <c r="E1027" s="27"/>
      <c r="F1027" s="27"/>
      <c r="G1027" s="27"/>
      <c r="H1027" s="27"/>
      <c r="I1027" s="27"/>
      <c r="J1027" s="27"/>
    </row>
    <row r="1028" ht="15" customHeight="1">
      <c r="A1028" s="26">
        <v>1022</v>
      </c>
      <c r="B1028" s="26"/>
      <c r="C1028" s="26"/>
      <c r="D1028" s="26"/>
      <c r="E1028" s="26"/>
      <c r="F1028" s="26"/>
      <c r="G1028" s="26"/>
      <c r="H1028" s="26"/>
      <c r="I1028" s="26"/>
      <c r="J1028" s="26"/>
    </row>
    <row r="1029" ht="15" customHeight="1">
      <c r="A1029" s="27">
        <v>1023</v>
      </c>
      <c r="B1029" s="27"/>
      <c r="C1029" s="27"/>
      <c r="D1029" s="27"/>
      <c r="E1029" s="27"/>
      <c r="F1029" s="27"/>
      <c r="G1029" s="27"/>
      <c r="H1029" s="27"/>
      <c r="I1029" s="27"/>
      <c r="J1029" s="27"/>
    </row>
    <row r="1030" ht="15" customHeight="1">
      <c r="A1030" s="26">
        <v>1024</v>
      </c>
      <c r="B1030" s="26"/>
      <c r="C1030" s="26"/>
      <c r="D1030" s="26"/>
      <c r="E1030" s="26"/>
      <c r="F1030" s="26"/>
      <c r="G1030" s="26"/>
      <c r="H1030" s="26"/>
      <c r="I1030" s="26"/>
      <c r="J1030" s="26"/>
    </row>
    <row r="1031" ht="15" customHeight="1">
      <c r="A1031" s="27">
        <v>1025</v>
      </c>
      <c r="B1031" s="27"/>
      <c r="C1031" s="27"/>
      <c r="D1031" s="27"/>
      <c r="E1031" s="27"/>
      <c r="F1031" s="27"/>
      <c r="G1031" s="27"/>
      <c r="H1031" s="27"/>
      <c r="I1031" s="27"/>
      <c r="J1031" s="27"/>
    </row>
    <row r="1032" ht="15" customHeight="1">
      <c r="A1032" s="26">
        <v>1026</v>
      </c>
      <c r="B1032" s="26"/>
      <c r="C1032" s="26"/>
      <c r="D1032" s="26"/>
      <c r="E1032" s="26"/>
      <c r="F1032" s="26"/>
      <c r="G1032" s="26"/>
      <c r="H1032" s="26"/>
      <c r="I1032" s="26"/>
      <c r="J1032" s="26"/>
    </row>
    <row r="1033" ht="15" customHeight="1">
      <c r="A1033" s="27">
        <v>1027</v>
      </c>
      <c r="B1033" s="27"/>
      <c r="C1033" s="27"/>
      <c r="D1033" s="27"/>
      <c r="E1033" s="27"/>
      <c r="F1033" s="27"/>
      <c r="G1033" s="27"/>
      <c r="H1033" s="27"/>
      <c r="I1033" s="27"/>
      <c r="J1033" s="27"/>
    </row>
    <row r="1034" ht="15" customHeight="1">
      <c r="A1034" s="26">
        <v>1028</v>
      </c>
      <c r="B1034" s="26"/>
      <c r="C1034" s="26"/>
      <c r="D1034" s="26"/>
      <c r="E1034" s="26"/>
      <c r="F1034" s="26"/>
      <c r="G1034" s="26"/>
      <c r="H1034" s="26"/>
      <c r="I1034" s="26"/>
      <c r="J1034" s="26"/>
    </row>
    <row r="1035" ht="15" customHeight="1">
      <c r="A1035" s="27">
        <v>1029</v>
      </c>
      <c r="B1035" s="27"/>
      <c r="C1035" s="27"/>
      <c r="D1035" s="27"/>
      <c r="E1035" s="27"/>
      <c r="F1035" s="27"/>
      <c r="G1035" s="27"/>
      <c r="H1035" s="27"/>
      <c r="I1035" s="27"/>
      <c r="J1035" s="27"/>
    </row>
    <row r="1036" ht="15" customHeight="1">
      <c r="A1036" s="26">
        <v>1030</v>
      </c>
      <c r="B1036" s="26"/>
      <c r="C1036" s="26"/>
      <c r="D1036" s="26"/>
      <c r="E1036" s="26"/>
      <c r="F1036" s="26"/>
      <c r="G1036" s="26"/>
      <c r="H1036" s="26"/>
      <c r="I1036" s="26"/>
      <c r="J1036" s="26"/>
    </row>
    <row r="1037" ht="15" customHeight="1">
      <c r="A1037" s="27">
        <v>1031</v>
      </c>
      <c r="B1037" s="27"/>
      <c r="C1037" s="27"/>
      <c r="D1037" s="27"/>
      <c r="E1037" s="27"/>
      <c r="F1037" s="27"/>
      <c r="G1037" s="27"/>
      <c r="H1037" s="27"/>
      <c r="I1037" s="27"/>
      <c r="J1037" s="27"/>
    </row>
    <row r="1038" ht="15" customHeight="1">
      <c r="A1038" s="26">
        <v>1032</v>
      </c>
      <c r="B1038" s="26"/>
      <c r="C1038" s="26"/>
      <c r="D1038" s="26"/>
      <c r="E1038" s="26"/>
      <c r="F1038" s="26"/>
      <c r="G1038" s="26"/>
      <c r="H1038" s="26"/>
      <c r="I1038" s="26"/>
      <c r="J1038" s="26"/>
    </row>
    <row r="1039" ht="15" customHeight="1">
      <c r="A1039" s="27">
        <v>1033</v>
      </c>
      <c r="B1039" s="27"/>
      <c r="C1039" s="27"/>
      <c r="D1039" s="27"/>
      <c r="E1039" s="27"/>
      <c r="F1039" s="27"/>
      <c r="G1039" s="27"/>
      <c r="H1039" s="27"/>
      <c r="I1039" s="27"/>
      <c r="J1039" s="27"/>
    </row>
    <row r="1040" ht="15" customHeight="1">
      <c r="A1040" s="26">
        <v>1034</v>
      </c>
      <c r="B1040" s="26"/>
      <c r="C1040" s="26"/>
      <c r="D1040" s="26"/>
      <c r="E1040" s="26"/>
      <c r="F1040" s="26"/>
      <c r="G1040" s="26"/>
      <c r="H1040" s="26"/>
      <c r="I1040" s="26"/>
      <c r="J1040" s="26"/>
    </row>
    <row r="1041" ht="15" customHeight="1">
      <c r="A1041" s="27">
        <v>1035</v>
      </c>
      <c r="B1041" s="27"/>
      <c r="C1041" s="27"/>
      <c r="D1041" s="27"/>
      <c r="E1041" s="27"/>
      <c r="F1041" s="27"/>
      <c r="G1041" s="27"/>
      <c r="H1041" s="27"/>
      <c r="I1041" s="27"/>
      <c r="J1041" s="27"/>
    </row>
    <row r="1042" ht="15" customHeight="1">
      <c r="A1042" s="26">
        <v>1036</v>
      </c>
      <c r="B1042" s="26"/>
      <c r="C1042" s="26"/>
      <c r="D1042" s="26"/>
      <c r="E1042" s="26"/>
      <c r="F1042" s="26"/>
      <c r="G1042" s="26"/>
      <c r="H1042" s="26"/>
      <c r="I1042" s="26"/>
      <c r="J1042" s="26"/>
    </row>
    <row r="1043" ht="15" customHeight="1">
      <c r="A1043" s="27">
        <v>1037</v>
      </c>
      <c r="B1043" s="27"/>
      <c r="C1043" s="27"/>
      <c r="D1043" s="27"/>
      <c r="E1043" s="27"/>
      <c r="F1043" s="27"/>
      <c r="G1043" s="27"/>
      <c r="H1043" s="27"/>
      <c r="I1043" s="27"/>
      <c r="J1043" s="27"/>
    </row>
    <row r="1044" ht="15" customHeight="1">
      <c r="A1044" s="26">
        <v>1038</v>
      </c>
      <c r="B1044" s="26"/>
      <c r="C1044" s="26"/>
      <c r="D1044" s="26"/>
      <c r="E1044" s="26"/>
      <c r="F1044" s="26"/>
      <c r="G1044" s="26"/>
      <c r="H1044" s="26"/>
      <c r="I1044" s="26"/>
      <c r="J1044" s="26"/>
    </row>
    <row r="1045" ht="15" customHeight="1">
      <c r="A1045" s="27">
        <v>1039</v>
      </c>
      <c r="B1045" s="27"/>
      <c r="C1045" s="27"/>
      <c r="D1045" s="27"/>
      <c r="E1045" s="27"/>
      <c r="F1045" s="27"/>
      <c r="G1045" s="27"/>
      <c r="H1045" s="27"/>
      <c r="I1045" s="27"/>
      <c r="J1045" s="27"/>
    </row>
    <row r="1046" ht="15" customHeight="1">
      <c r="A1046" s="26">
        <v>1040</v>
      </c>
      <c r="B1046" s="26"/>
      <c r="C1046" s="26"/>
      <c r="D1046" s="26"/>
      <c r="E1046" s="26"/>
      <c r="F1046" s="26"/>
      <c r="G1046" s="26"/>
      <c r="H1046" s="26"/>
      <c r="I1046" s="26"/>
      <c r="J1046" s="26"/>
    </row>
    <row r="1047" ht="15" customHeight="1">
      <c r="A1047" s="27">
        <v>1041</v>
      </c>
      <c r="B1047" s="27"/>
      <c r="C1047" s="27"/>
      <c r="D1047" s="27"/>
      <c r="E1047" s="27"/>
      <c r="F1047" s="27"/>
      <c r="G1047" s="27"/>
      <c r="H1047" s="27"/>
      <c r="I1047" s="27"/>
      <c r="J1047" s="27"/>
    </row>
    <row r="1048" ht="15" customHeight="1">
      <c r="A1048" s="26">
        <v>1042</v>
      </c>
      <c r="B1048" s="26"/>
      <c r="C1048" s="26"/>
      <c r="D1048" s="26"/>
      <c r="E1048" s="26"/>
      <c r="F1048" s="26"/>
      <c r="G1048" s="26"/>
      <c r="H1048" s="26"/>
      <c r="I1048" s="26"/>
      <c r="J1048" s="26"/>
    </row>
    <row r="1049" ht="15" customHeight="1">
      <c r="A1049" s="27">
        <v>1043</v>
      </c>
      <c r="B1049" s="27"/>
      <c r="C1049" s="27"/>
      <c r="D1049" s="27"/>
      <c r="E1049" s="27"/>
      <c r="F1049" s="27"/>
      <c r="G1049" s="27"/>
      <c r="H1049" s="27"/>
      <c r="I1049" s="27"/>
      <c r="J1049" s="27"/>
    </row>
    <row r="1050" ht="15" customHeight="1">
      <c r="A1050" s="26">
        <v>1044</v>
      </c>
      <c r="B1050" s="26"/>
      <c r="C1050" s="26"/>
      <c r="D1050" s="26"/>
      <c r="E1050" s="26"/>
      <c r="F1050" s="26"/>
      <c r="G1050" s="26"/>
      <c r="H1050" s="26"/>
      <c r="I1050" s="26"/>
      <c r="J1050" s="26"/>
    </row>
    <row r="1051" ht="15" customHeight="1">
      <c r="A1051" s="27">
        <v>1045</v>
      </c>
      <c r="B1051" s="27"/>
      <c r="C1051" s="27"/>
      <c r="D1051" s="27"/>
      <c r="E1051" s="27"/>
      <c r="F1051" s="27"/>
      <c r="G1051" s="27"/>
      <c r="H1051" s="27"/>
      <c r="I1051" s="27"/>
      <c r="J1051" s="27"/>
    </row>
    <row r="1052" ht="15" customHeight="1">
      <c r="A1052" s="26">
        <v>1046</v>
      </c>
      <c r="B1052" s="26"/>
      <c r="C1052" s="26"/>
      <c r="D1052" s="26"/>
      <c r="E1052" s="26"/>
      <c r="F1052" s="26"/>
      <c r="G1052" s="26"/>
      <c r="H1052" s="26"/>
      <c r="I1052" s="26"/>
      <c r="J1052" s="26"/>
    </row>
    <row r="1053" ht="15" customHeight="1">
      <c r="A1053" s="27">
        <v>1047</v>
      </c>
      <c r="B1053" s="27"/>
      <c r="C1053" s="27"/>
      <c r="D1053" s="27"/>
      <c r="E1053" s="27"/>
      <c r="F1053" s="27"/>
      <c r="G1053" s="27"/>
      <c r="H1053" s="27"/>
      <c r="I1053" s="27"/>
      <c r="J1053" s="27"/>
    </row>
    <row r="1054" ht="15" customHeight="1">
      <c r="A1054" s="26">
        <v>1048</v>
      </c>
      <c r="B1054" s="26"/>
      <c r="C1054" s="26"/>
      <c r="D1054" s="26"/>
      <c r="E1054" s="26"/>
      <c r="F1054" s="26"/>
      <c r="G1054" s="26"/>
      <c r="H1054" s="26"/>
      <c r="I1054" s="26"/>
      <c r="J1054" s="26"/>
    </row>
    <row r="1055" ht="15" customHeight="1">
      <c r="A1055" s="27">
        <v>1049</v>
      </c>
      <c r="B1055" s="27"/>
      <c r="C1055" s="27"/>
      <c r="D1055" s="27"/>
      <c r="E1055" s="27"/>
      <c r="F1055" s="27"/>
      <c r="G1055" s="27"/>
      <c r="H1055" s="27"/>
      <c r="I1055" s="27"/>
      <c r="J1055" s="27"/>
    </row>
    <row r="1056" ht="15" customHeight="1">
      <c r="A1056" s="26">
        <v>1050</v>
      </c>
      <c r="B1056" s="26"/>
      <c r="C1056" s="26"/>
      <c r="D1056" s="26"/>
      <c r="E1056" s="26"/>
      <c r="F1056" s="26"/>
      <c r="G1056" s="26"/>
      <c r="H1056" s="26"/>
      <c r="I1056" s="26"/>
      <c r="J1056" s="26"/>
    </row>
    <row r="1057" ht="15" customHeight="1">
      <c r="A1057" s="27">
        <v>1051</v>
      </c>
      <c r="B1057" s="27"/>
      <c r="C1057" s="27"/>
      <c r="D1057" s="27"/>
      <c r="E1057" s="27"/>
      <c r="F1057" s="27"/>
      <c r="G1057" s="27"/>
      <c r="H1057" s="27"/>
      <c r="I1057" s="27"/>
      <c r="J1057" s="27"/>
    </row>
    <row r="1058" ht="15" customHeight="1">
      <c r="A1058" s="26">
        <v>1052</v>
      </c>
      <c r="B1058" s="26"/>
      <c r="C1058" s="26"/>
      <c r="D1058" s="26"/>
      <c r="E1058" s="26"/>
      <c r="F1058" s="26"/>
      <c r="G1058" s="26"/>
      <c r="H1058" s="26"/>
      <c r="I1058" s="26"/>
      <c r="J1058" s="26"/>
    </row>
    <row r="1059" ht="15" customHeight="1">
      <c r="A1059" s="27">
        <v>1053</v>
      </c>
      <c r="B1059" s="27"/>
      <c r="C1059" s="27"/>
      <c r="D1059" s="27"/>
      <c r="E1059" s="27"/>
      <c r="F1059" s="27"/>
      <c r="G1059" s="27"/>
      <c r="H1059" s="27"/>
      <c r="I1059" s="27"/>
      <c r="J1059" s="27"/>
    </row>
    <row r="1060" ht="15" customHeight="1">
      <c r="A1060" s="26">
        <v>1054</v>
      </c>
      <c r="B1060" s="26"/>
      <c r="C1060" s="26"/>
      <c r="D1060" s="26"/>
      <c r="E1060" s="26"/>
      <c r="F1060" s="26"/>
      <c r="G1060" s="26"/>
      <c r="H1060" s="26"/>
      <c r="I1060" s="26"/>
      <c r="J1060" s="26"/>
    </row>
    <row r="1061" ht="15" customHeight="1">
      <c r="A1061" s="27">
        <v>1055</v>
      </c>
      <c r="B1061" s="27"/>
      <c r="C1061" s="27"/>
      <c r="D1061" s="27"/>
      <c r="E1061" s="27"/>
      <c r="F1061" s="27"/>
      <c r="G1061" s="27"/>
      <c r="H1061" s="27"/>
      <c r="I1061" s="27"/>
      <c r="J1061" s="27"/>
    </row>
    <row r="1062" ht="15" customHeight="1">
      <c r="A1062" s="26">
        <v>1056</v>
      </c>
      <c r="B1062" s="26"/>
      <c r="C1062" s="26"/>
      <c r="D1062" s="26"/>
      <c r="E1062" s="26"/>
      <c r="F1062" s="26"/>
      <c r="G1062" s="26"/>
      <c r="H1062" s="26"/>
      <c r="I1062" s="26"/>
      <c r="J1062" s="26"/>
    </row>
    <row r="1063" ht="15" customHeight="1">
      <c r="A1063" s="27">
        <v>1057</v>
      </c>
      <c r="B1063" s="27"/>
      <c r="C1063" s="27"/>
      <c r="D1063" s="27"/>
      <c r="E1063" s="27"/>
      <c r="F1063" s="27"/>
      <c r="G1063" s="27"/>
      <c r="H1063" s="27"/>
      <c r="I1063" s="27"/>
      <c r="J1063" s="27"/>
    </row>
    <row r="1064" ht="15" customHeight="1">
      <c r="A1064" s="26">
        <v>1058</v>
      </c>
      <c r="B1064" s="26"/>
      <c r="C1064" s="26"/>
      <c r="D1064" s="26"/>
      <c r="E1064" s="26"/>
      <c r="F1064" s="26"/>
      <c r="G1064" s="26"/>
      <c r="H1064" s="26"/>
      <c r="I1064" s="26"/>
      <c r="J1064" s="26"/>
    </row>
    <row r="1065" ht="15" customHeight="1">
      <c r="A1065" s="27">
        <v>1059</v>
      </c>
      <c r="B1065" s="27"/>
      <c r="C1065" s="27"/>
      <c r="D1065" s="27"/>
      <c r="E1065" s="27"/>
      <c r="F1065" s="27"/>
      <c r="G1065" s="27"/>
      <c r="H1065" s="27"/>
      <c r="I1065" s="27"/>
      <c r="J1065" s="27"/>
    </row>
    <row r="1066" ht="15" customHeight="1">
      <c r="A1066" s="26">
        <v>1060</v>
      </c>
      <c r="B1066" s="26"/>
      <c r="C1066" s="26"/>
      <c r="D1066" s="26"/>
      <c r="E1066" s="26"/>
      <c r="F1066" s="26"/>
      <c r="G1066" s="26"/>
      <c r="H1066" s="26"/>
      <c r="I1066" s="26"/>
      <c r="J1066" s="26"/>
    </row>
    <row r="1067" ht="15" customHeight="1">
      <c r="A1067" s="27">
        <v>1061</v>
      </c>
      <c r="B1067" s="27"/>
      <c r="C1067" s="27"/>
      <c r="D1067" s="27"/>
      <c r="E1067" s="27"/>
      <c r="F1067" s="27"/>
      <c r="G1067" s="27"/>
      <c r="H1067" s="27"/>
      <c r="I1067" s="27"/>
      <c r="J1067" s="27"/>
    </row>
    <row r="1068" ht="15" customHeight="1">
      <c r="A1068" s="26">
        <v>1062</v>
      </c>
      <c r="B1068" s="26"/>
      <c r="C1068" s="26"/>
      <c r="D1068" s="26"/>
      <c r="E1068" s="26"/>
      <c r="F1068" s="26"/>
      <c r="G1068" s="26"/>
      <c r="H1068" s="26"/>
      <c r="I1068" s="26"/>
      <c r="J1068" s="26"/>
    </row>
    <row r="1069" ht="15" customHeight="1">
      <c r="A1069" s="27">
        <v>1063</v>
      </c>
      <c r="B1069" s="27"/>
      <c r="C1069" s="27"/>
      <c r="D1069" s="27"/>
      <c r="E1069" s="27"/>
      <c r="F1069" s="27"/>
      <c r="G1069" s="27"/>
      <c r="H1069" s="27"/>
      <c r="I1069" s="27"/>
      <c r="J1069" s="27"/>
    </row>
    <row r="1070" ht="15" customHeight="1">
      <c r="A1070" s="26">
        <v>1064</v>
      </c>
      <c r="B1070" s="26"/>
      <c r="C1070" s="26"/>
      <c r="D1070" s="26"/>
      <c r="E1070" s="26"/>
      <c r="F1070" s="26"/>
      <c r="G1070" s="26"/>
      <c r="H1070" s="26"/>
      <c r="I1070" s="26"/>
      <c r="J1070" s="26"/>
    </row>
    <row r="1071" ht="15" customHeight="1">
      <c r="A1071" s="27">
        <v>1065</v>
      </c>
      <c r="B1071" s="27"/>
      <c r="C1071" s="27"/>
      <c r="D1071" s="27"/>
      <c r="E1071" s="27"/>
      <c r="F1071" s="27"/>
      <c r="G1071" s="27"/>
      <c r="H1071" s="27"/>
      <c r="I1071" s="27"/>
      <c r="J1071" s="27"/>
    </row>
    <row r="1072" ht="15" customHeight="1">
      <c r="A1072" s="26">
        <v>1066</v>
      </c>
      <c r="B1072" s="26"/>
      <c r="C1072" s="26"/>
      <c r="D1072" s="26"/>
      <c r="E1072" s="26"/>
      <c r="F1072" s="26"/>
      <c r="G1072" s="26"/>
      <c r="H1072" s="26"/>
      <c r="I1072" s="26"/>
      <c r="J1072" s="26"/>
    </row>
    <row r="1073" ht="15" customHeight="1">
      <c r="A1073" s="27">
        <v>1067</v>
      </c>
      <c r="B1073" s="27"/>
      <c r="C1073" s="27"/>
      <c r="D1073" s="27"/>
      <c r="E1073" s="27"/>
      <c r="F1073" s="27"/>
      <c r="G1073" s="27"/>
      <c r="H1073" s="27"/>
      <c r="I1073" s="27"/>
      <c r="J1073" s="27"/>
    </row>
    <row r="1074" ht="15" customHeight="1">
      <c r="A1074" s="26">
        <v>1068</v>
      </c>
      <c r="B1074" s="26"/>
      <c r="C1074" s="26"/>
      <c r="D1074" s="26"/>
      <c r="E1074" s="26"/>
      <c r="F1074" s="26"/>
      <c r="G1074" s="26"/>
      <c r="H1074" s="26"/>
      <c r="I1074" s="26"/>
      <c r="J1074" s="26"/>
    </row>
    <row r="1075" ht="15" customHeight="1">
      <c r="A1075" s="27">
        <v>1069</v>
      </c>
      <c r="B1075" s="27"/>
      <c r="C1075" s="27"/>
      <c r="D1075" s="27"/>
      <c r="E1075" s="27"/>
      <c r="F1075" s="27"/>
      <c r="G1075" s="27"/>
      <c r="H1075" s="27"/>
      <c r="I1075" s="27"/>
      <c r="J1075" s="27"/>
    </row>
    <row r="1076" ht="15" customHeight="1">
      <c r="A1076" s="26">
        <v>1070</v>
      </c>
      <c r="B1076" s="26"/>
      <c r="C1076" s="26"/>
      <c r="D1076" s="26"/>
      <c r="E1076" s="26"/>
      <c r="F1076" s="26"/>
      <c r="G1076" s="26"/>
      <c r="H1076" s="26"/>
      <c r="I1076" s="26"/>
      <c r="J1076" s="26"/>
    </row>
    <row r="1077" ht="15" customHeight="1">
      <c r="A1077" s="27">
        <v>1071</v>
      </c>
      <c r="B1077" s="27"/>
      <c r="C1077" s="27"/>
      <c r="D1077" s="27"/>
      <c r="E1077" s="27"/>
      <c r="F1077" s="27"/>
      <c r="G1077" s="27"/>
      <c r="H1077" s="27"/>
      <c r="I1077" s="27"/>
      <c r="J1077" s="27"/>
    </row>
    <row r="1078" ht="15" customHeight="1">
      <c r="A1078" s="26">
        <v>1072</v>
      </c>
      <c r="B1078" s="26"/>
      <c r="C1078" s="26"/>
      <c r="D1078" s="26"/>
      <c r="E1078" s="26"/>
      <c r="F1078" s="26"/>
      <c r="G1078" s="26"/>
      <c r="H1078" s="26"/>
      <c r="I1078" s="26"/>
      <c r="J1078" s="26"/>
    </row>
    <row r="1079" ht="15" customHeight="1">
      <c r="A1079" s="27">
        <v>1073</v>
      </c>
      <c r="B1079" s="27"/>
      <c r="C1079" s="27"/>
      <c r="D1079" s="27"/>
      <c r="E1079" s="27"/>
      <c r="F1079" s="27"/>
      <c r="G1079" s="27"/>
      <c r="H1079" s="27"/>
      <c r="I1079" s="27"/>
      <c r="J1079" s="27"/>
    </row>
    <row r="1080" ht="15" customHeight="1">
      <c r="A1080" s="26">
        <v>1074</v>
      </c>
      <c r="B1080" s="26"/>
      <c r="C1080" s="26"/>
      <c r="D1080" s="26"/>
      <c r="E1080" s="26"/>
      <c r="F1080" s="26"/>
      <c r="G1080" s="26"/>
      <c r="H1080" s="26"/>
      <c r="I1080" s="26"/>
      <c r="J1080" s="26"/>
    </row>
    <row r="1081" ht="15" customHeight="1">
      <c r="A1081" s="27">
        <v>1075</v>
      </c>
      <c r="B1081" s="27"/>
      <c r="C1081" s="27"/>
      <c r="D1081" s="27"/>
      <c r="E1081" s="27"/>
      <c r="F1081" s="27"/>
      <c r="G1081" s="27"/>
      <c r="H1081" s="27"/>
      <c r="I1081" s="27"/>
      <c r="J1081" s="27"/>
    </row>
    <row r="1082" ht="15" customHeight="1">
      <c r="A1082" s="26">
        <v>1076</v>
      </c>
      <c r="B1082" s="26"/>
      <c r="C1082" s="26"/>
      <c r="D1082" s="26"/>
      <c r="E1082" s="26"/>
      <c r="F1082" s="26"/>
      <c r="G1082" s="26"/>
      <c r="H1082" s="26"/>
      <c r="I1082" s="26"/>
      <c r="J1082" s="26"/>
    </row>
    <row r="1083" ht="15" customHeight="1">
      <c r="A1083" s="27">
        <v>1077</v>
      </c>
      <c r="B1083" s="27"/>
      <c r="C1083" s="27"/>
      <c r="D1083" s="27"/>
      <c r="E1083" s="27"/>
      <c r="F1083" s="27"/>
      <c r="G1083" s="27"/>
      <c r="H1083" s="27"/>
      <c r="I1083" s="27"/>
      <c r="J1083" s="27"/>
    </row>
    <row r="1084" ht="15" customHeight="1">
      <c r="A1084" s="26">
        <v>1078</v>
      </c>
      <c r="B1084" s="26"/>
      <c r="C1084" s="26"/>
      <c r="D1084" s="26"/>
      <c r="E1084" s="26"/>
      <c r="F1084" s="26"/>
      <c r="G1084" s="26"/>
      <c r="H1084" s="26"/>
      <c r="I1084" s="26"/>
      <c r="J1084" s="26"/>
    </row>
    <row r="1085" ht="15" customHeight="1">
      <c r="A1085" s="27">
        <v>1079</v>
      </c>
      <c r="B1085" s="27"/>
      <c r="C1085" s="27"/>
      <c r="D1085" s="27"/>
      <c r="E1085" s="27"/>
      <c r="F1085" s="27"/>
      <c r="G1085" s="27"/>
      <c r="H1085" s="27"/>
      <c r="I1085" s="27"/>
      <c r="J1085" s="27"/>
    </row>
    <row r="1086" ht="15" customHeight="1">
      <c r="A1086" s="26">
        <v>1080</v>
      </c>
      <c r="B1086" s="26"/>
      <c r="C1086" s="26"/>
      <c r="D1086" s="26"/>
      <c r="E1086" s="26"/>
      <c r="F1086" s="26"/>
      <c r="G1086" s="26"/>
      <c r="H1086" s="26"/>
      <c r="I1086" s="26"/>
      <c r="J1086" s="26"/>
    </row>
    <row r="1087" ht="15" customHeight="1">
      <c r="A1087" s="27">
        <v>1081</v>
      </c>
      <c r="B1087" s="27"/>
      <c r="C1087" s="27"/>
      <c r="D1087" s="27"/>
      <c r="E1087" s="27"/>
      <c r="F1087" s="27"/>
      <c r="G1087" s="27"/>
      <c r="H1087" s="27"/>
      <c r="I1087" s="27"/>
      <c r="J1087" s="27"/>
    </row>
    <row r="1088" ht="15" customHeight="1">
      <c r="A1088" s="26">
        <v>1082</v>
      </c>
      <c r="B1088" s="26"/>
      <c r="C1088" s="26"/>
      <c r="D1088" s="26"/>
      <c r="E1088" s="26"/>
      <c r="F1088" s="26"/>
      <c r="G1088" s="26"/>
      <c r="H1088" s="26"/>
      <c r="I1088" s="26"/>
      <c r="J1088" s="26"/>
    </row>
    <row r="1089" ht="15" customHeight="1">
      <c r="A1089" s="27">
        <v>1083</v>
      </c>
      <c r="B1089" s="27"/>
      <c r="C1089" s="27"/>
      <c r="D1089" s="27"/>
      <c r="E1089" s="27"/>
      <c r="F1089" s="27"/>
      <c r="G1089" s="27"/>
      <c r="H1089" s="27"/>
      <c r="I1089" s="27"/>
      <c r="J1089" s="27"/>
    </row>
    <row r="1090" ht="15" customHeight="1">
      <c r="A1090" s="26">
        <v>1084</v>
      </c>
      <c r="B1090" s="26"/>
      <c r="C1090" s="26"/>
      <c r="D1090" s="26"/>
      <c r="E1090" s="26"/>
      <c r="F1090" s="26"/>
      <c r="G1090" s="26"/>
      <c r="H1090" s="26"/>
      <c r="I1090" s="26"/>
      <c r="J1090" s="26"/>
    </row>
    <row r="1091" ht="15" customHeight="1">
      <c r="A1091" s="27">
        <v>1085</v>
      </c>
      <c r="B1091" s="27"/>
      <c r="C1091" s="27"/>
      <c r="D1091" s="27"/>
      <c r="E1091" s="27"/>
      <c r="F1091" s="27"/>
      <c r="G1091" s="27"/>
      <c r="H1091" s="27"/>
      <c r="I1091" s="27"/>
      <c r="J1091" s="27"/>
    </row>
    <row r="1092" ht="15" customHeight="1">
      <c r="A1092" s="26">
        <v>1086</v>
      </c>
      <c r="B1092" s="26"/>
      <c r="C1092" s="26"/>
      <c r="D1092" s="26"/>
      <c r="E1092" s="26"/>
      <c r="F1092" s="26"/>
      <c r="G1092" s="26"/>
      <c r="H1092" s="26"/>
      <c r="I1092" s="26"/>
      <c r="J1092" s="26"/>
    </row>
    <row r="1093" ht="15" customHeight="1">
      <c r="A1093" s="27">
        <v>1087</v>
      </c>
      <c r="B1093" s="27"/>
      <c r="C1093" s="27"/>
      <c r="D1093" s="27"/>
      <c r="E1093" s="27"/>
      <c r="F1093" s="27"/>
      <c r="G1093" s="27"/>
      <c r="H1093" s="27"/>
      <c r="I1093" s="27"/>
      <c r="J1093" s="27"/>
    </row>
    <row r="1094" ht="15" customHeight="1">
      <c r="A1094" s="26">
        <v>1088</v>
      </c>
      <c r="B1094" s="26"/>
      <c r="C1094" s="26"/>
      <c r="D1094" s="26"/>
      <c r="E1094" s="26"/>
      <c r="F1094" s="26"/>
      <c r="G1094" s="26"/>
      <c r="H1094" s="26"/>
      <c r="I1094" s="26"/>
      <c r="J1094" s="26"/>
    </row>
    <row r="1095" ht="15" customHeight="1">
      <c r="A1095" s="27">
        <v>1089</v>
      </c>
      <c r="B1095" s="27"/>
      <c r="C1095" s="27"/>
      <c r="D1095" s="27"/>
      <c r="E1095" s="27"/>
      <c r="F1095" s="27"/>
      <c r="G1095" s="27"/>
      <c r="H1095" s="27"/>
      <c r="I1095" s="27"/>
      <c r="J1095" s="27"/>
    </row>
    <row r="1096" ht="15" customHeight="1">
      <c r="A1096" s="26">
        <v>1090</v>
      </c>
      <c r="B1096" s="26"/>
      <c r="C1096" s="26"/>
      <c r="D1096" s="26"/>
      <c r="E1096" s="26"/>
      <c r="F1096" s="26"/>
      <c r="G1096" s="26"/>
      <c r="H1096" s="26"/>
      <c r="I1096" s="26"/>
      <c r="J1096" s="26"/>
    </row>
    <row r="1097" ht="15" customHeight="1">
      <c r="A1097" s="27">
        <v>1091</v>
      </c>
      <c r="B1097" s="27"/>
      <c r="C1097" s="27"/>
      <c r="D1097" s="27"/>
      <c r="E1097" s="27"/>
      <c r="F1097" s="27"/>
      <c r="G1097" s="27"/>
      <c r="H1097" s="27"/>
      <c r="I1097" s="27"/>
      <c r="J1097" s="27"/>
    </row>
    <row r="1098" ht="15" customHeight="1">
      <c r="A1098" s="26">
        <v>1092</v>
      </c>
      <c r="B1098" s="26"/>
      <c r="C1098" s="26"/>
      <c r="D1098" s="26"/>
      <c r="E1098" s="26"/>
      <c r="F1098" s="26"/>
      <c r="G1098" s="26"/>
      <c r="H1098" s="26"/>
      <c r="I1098" s="26"/>
      <c r="J1098" s="26"/>
    </row>
    <row r="1099" ht="15" customHeight="1">
      <c r="A1099" s="27">
        <v>1093</v>
      </c>
      <c r="B1099" s="27"/>
      <c r="C1099" s="27"/>
      <c r="D1099" s="27"/>
      <c r="E1099" s="27"/>
      <c r="F1099" s="27"/>
      <c r="G1099" s="27"/>
      <c r="H1099" s="27"/>
      <c r="I1099" s="27"/>
      <c r="J1099" s="27"/>
    </row>
    <row r="1100" ht="15" customHeight="1">
      <c r="A1100" s="26">
        <v>1094</v>
      </c>
      <c r="B1100" s="26"/>
      <c r="C1100" s="26"/>
      <c r="D1100" s="26"/>
      <c r="E1100" s="26"/>
      <c r="F1100" s="26"/>
      <c r="G1100" s="26"/>
      <c r="H1100" s="26"/>
      <c r="I1100" s="26"/>
      <c r="J1100" s="26"/>
    </row>
    <row r="1101" ht="15" customHeight="1">
      <c r="A1101" s="27">
        <v>1095</v>
      </c>
      <c r="B1101" s="27"/>
      <c r="C1101" s="27"/>
      <c r="D1101" s="27"/>
      <c r="E1101" s="27"/>
      <c r="F1101" s="27"/>
      <c r="G1101" s="27"/>
      <c r="H1101" s="27"/>
      <c r="I1101" s="27"/>
      <c r="J1101" s="27"/>
    </row>
    <row r="1102" ht="15" customHeight="1">
      <c r="A1102" s="26">
        <v>1096</v>
      </c>
      <c r="B1102" s="26"/>
      <c r="C1102" s="26"/>
      <c r="D1102" s="26"/>
      <c r="E1102" s="26"/>
      <c r="F1102" s="26"/>
      <c r="G1102" s="26"/>
      <c r="H1102" s="26"/>
      <c r="I1102" s="26"/>
      <c r="J1102" s="26"/>
    </row>
    <row r="1103" ht="15" customHeight="1">
      <c r="A1103" s="27">
        <v>1097</v>
      </c>
      <c r="B1103" s="27"/>
      <c r="C1103" s="27"/>
      <c r="D1103" s="27"/>
      <c r="E1103" s="27"/>
      <c r="F1103" s="27"/>
      <c r="G1103" s="27"/>
      <c r="H1103" s="27"/>
      <c r="I1103" s="27"/>
      <c r="J1103" s="27"/>
    </row>
    <row r="1104" ht="15" customHeight="1">
      <c r="A1104" s="26">
        <v>1098</v>
      </c>
      <c r="B1104" s="26"/>
      <c r="C1104" s="26"/>
      <c r="D1104" s="26"/>
      <c r="E1104" s="26"/>
      <c r="F1104" s="26"/>
      <c r="G1104" s="26"/>
      <c r="H1104" s="26"/>
      <c r="I1104" s="26"/>
      <c r="J1104" s="26"/>
    </row>
    <row r="1105" ht="15" customHeight="1">
      <c r="A1105" s="27">
        <v>1099</v>
      </c>
      <c r="B1105" s="27"/>
      <c r="C1105" s="27"/>
      <c r="D1105" s="27"/>
      <c r="E1105" s="27"/>
      <c r="F1105" s="27"/>
      <c r="G1105" s="27"/>
      <c r="H1105" s="27"/>
      <c r="I1105" s="27"/>
      <c r="J1105" s="27"/>
    </row>
    <row r="1106" ht="15" customHeight="1">
      <c r="A1106" s="26">
        <v>1100</v>
      </c>
      <c r="B1106" s="26"/>
      <c r="C1106" s="26"/>
      <c r="D1106" s="26"/>
      <c r="E1106" s="26"/>
      <c r="F1106" s="26"/>
      <c r="G1106" s="26"/>
      <c r="H1106" s="26"/>
      <c r="I1106" s="26"/>
      <c r="J1106" s="26"/>
    </row>
    <row r="1107" ht="15" customHeight="1">
      <c r="A1107" s="27">
        <v>1101</v>
      </c>
      <c r="B1107" s="27"/>
      <c r="C1107" s="27"/>
      <c r="D1107" s="27"/>
      <c r="E1107" s="27"/>
      <c r="F1107" s="27"/>
      <c r="G1107" s="27"/>
      <c r="H1107" s="27"/>
      <c r="I1107" s="27"/>
      <c r="J1107" s="27"/>
    </row>
    <row r="1108" ht="15" customHeight="1">
      <c r="A1108" s="26">
        <v>1102</v>
      </c>
      <c r="B1108" s="26"/>
      <c r="C1108" s="26"/>
      <c r="D1108" s="26"/>
      <c r="E1108" s="26"/>
      <c r="F1108" s="26"/>
      <c r="G1108" s="26"/>
      <c r="H1108" s="26"/>
      <c r="I1108" s="26"/>
      <c r="J1108" s="26"/>
    </row>
    <row r="1109" ht="15" customHeight="1">
      <c r="A1109" s="27">
        <v>1103</v>
      </c>
      <c r="B1109" s="27"/>
      <c r="C1109" s="27"/>
      <c r="D1109" s="27"/>
      <c r="E1109" s="27"/>
      <c r="F1109" s="27"/>
      <c r="G1109" s="27"/>
      <c r="H1109" s="27"/>
      <c r="I1109" s="27"/>
      <c r="J1109" s="27"/>
    </row>
    <row r="1110" ht="15" customHeight="1">
      <c r="A1110" s="26">
        <v>1104</v>
      </c>
      <c r="B1110" s="26"/>
      <c r="C1110" s="26"/>
      <c r="D1110" s="26"/>
      <c r="E1110" s="26"/>
      <c r="F1110" s="26"/>
      <c r="G1110" s="26"/>
      <c r="H1110" s="26"/>
      <c r="I1110" s="26"/>
      <c r="J1110" s="26"/>
    </row>
    <row r="1111" ht="15" customHeight="1">
      <c r="A1111" s="27">
        <v>1105</v>
      </c>
      <c r="B1111" s="27"/>
      <c r="C1111" s="27"/>
      <c r="D1111" s="27"/>
      <c r="E1111" s="27"/>
      <c r="F1111" s="27"/>
      <c r="G1111" s="27"/>
      <c r="H1111" s="27"/>
      <c r="I1111" s="27"/>
      <c r="J1111" s="27"/>
    </row>
    <row r="1112" ht="15" customHeight="1">
      <c r="A1112" s="26">
        <v>1106</v>
      </c>
      <c r="B1112" s="26"/>
      <c r="C1112" s="26"/>
      <c r="D1112" s="26"/>
      <c r="E1112" s="26"/>
      <c r="F1112" s="26"/>
      <c r="G1112" s="26"/>
      <c r="H1112" s="26"/>
      <c r="I1112" s="26"/>
      <c r="J1112" s="26"/>
    </row>
    <row r="1113" ht="15" customHeight="1">
      <c r="A1113" s="27">
        <v>1107</v>
      </c>
      <c r="B1113" s="27"/>
      <c r="C1113" s="27"/>
      <c r="D1113" s="27"/>
      <c r="E1113" s="27"/>
      <c r="F1113" s="27"/>
      <c r="G1113" s="27"/>
      <c r="H1113" s="27"/>
      <c r="I1113" s="27"/>
      <c r="J1113" s="27"/>
    </row>
    <row r="1114" ht="15" customHeight="1">
      <c r="A1114" s="26">
        <v>1108</v>
      </c>
      <c r="B1114" s="26"/>
      <c r="C1114" s="26"/>
      <c r="D1114" s="26"/>
      <c r="E1114" s="26"/>
      <c r="F1114" s="26"/>
      <c r="G1114" s="26"/>
      <c r="H1114" s="26"/>
      <c r="I1114" s="26"/>
      <c r="J1114" s="26"/>
    </row>
    <row r="1115" ht="15" customHeight="1">
      <c r="A1115" s="27">
        <v>1109</v>
      </c>
      <c r="B1115" s="27"/>
      <c r="C1115" s="27"/>
      <c r="D1115" s="27"/>
      <c r="E1115" s="27"/>
      <c r="F1115" s="27"/>
      <c r="G1115" s="27"/>
      <c r="H1115" s="27"/>
      <c r="I1115" s="27"/>
      <c r="J1115" s="27"/>
    </row>
    <row r="1116" ht="15" customHeight="1">
      <c r="A1116" s="26">
        <v>1110</v>
      </c>
      <c r="B1116" s="26"/>
      <c r="C1116" s="26"/>
      <c r="D1116" s="26"/>
      <c r="E1116" s="26"/>
      <c r="F1116" s="26"/>
      <c r="G1116" s="26"/>
      <c r="H1116" s="26"/>
      <c r="I1116" s="26"/>
      <c r="J1116" s="26"/>
    </row>
    <row r="1117" ht="15" customHeight="1">
      <c r="A1117" s="27">
        <v>1111</v>
      </c>
      <c r="B1117" s="27"/>
      <c r="C1117" s="27"/>
      <c r="D1117" s="27"/>
      <c r="E1117" s="27"/>
      <c r="F1117" s="27"/>
      <c r="G1117" s="27"/>
      <c r="H1117" s="27"/>
      <c r="I1117" s="27"/>
      <c r="J1117" s="27"/>
    </row>
    <row r="1118" ht="15" customHeight="1">
      <c r="A1118" s="26">
        <v>1112</v>
      </c>
      <c r="B1118" s="26"/>
      <c r="C1118" s="26"/>
      <c r="D1118" s="26"/>
      <c r="E1118" s="26"/>
      <c r="F1118" s="26"/>
      <c r="G1118" s="26"/>
      <c r="H1118" s="26"/>
      <c r="I1118" s="26"/>
      <c r="J1118" s="26"/>
    </row>
    <row r="1119" ht="15" customHeight="1">
      <c r="A1119" s="27">
        <v>1113</v>
      </c>
      <c r="B1119" s="27"/>
      <c r="C1119" s="27"/>
      <c r="D1119" s="27"/>
      <c r="E1119" s="27"/>
      <c r="F1119" s="27"/>
      <c r="G1119" s="27"/>
      <c r="H1119" s="27"/>
      <c r="I1119" s="27"/>
      <c r="J1119" s="27"/>
    </row>
    <row r="1120" ht="15" customHeight="1">
      <c r="A1120" s="26">
        <v>1114</v>
      </c>
      <c r="B1120" s="26"/>
      <c r="C1120" s="26"/>
      <c r="D1120" s="26"/>
      <c r="E1120" s="26"/>
      <c r="F1120" s="26"/>
      <c r="G1120" s="26"/>
      <c r="H1120" s="26"/>
      <c r="I1120" s="26"/>
      <c r="J1120" s="26"/>
    </row>
    <row r="1121" ht="15" customHeight="1">
      <c r="A1121" s="27">
        <v>1115</v>
      </c>
      <c r="B1121" s="27"/>
      <c r="C1121" s="27"/>
      <c r="D1121" s="27"/>
      <c r="E1121" s="27"/>
      <c r="F1121" s="27"/>
      <c r="G1121" s="27"/>
      <c r="H1121" s="27"/>
      <c r="I1121" s="27"/>
      <c r="J1121" s="27"/>
    </row>
    <row r="1122" ht="15" customHeight="1">
      <c r="A1122" s="26">
        <v>1116</v>
      </c>
      <c r="B1122" s="26"/>
      <c r="C1122" s="26"/>
      <c r="D1122" s="26"/>
      <c r="E1122" s="26"/>
      <c r="F1122" s="26"/>
      <c r="G1122" s="26"/>
      <c r="H1122" s="26"/>
      <c r="I1122" s="26"/>
      <c r="J1122" s="26"/>
    </row>
    <row r="1123" ht="15" customHeight="1">
      <c r="A1123" s="27">
        <v>1117</v>
      </c>
      <c r="B1123" s="27"/>
      <c r="C1123" s="27"/>
      <c r="D1123" s="27"/>
      <c r="E1123" s="27"/>
      <c r="F1123" s="27"/>
      <c r="G1123" s="27"/>
      <c r="H1123" s="27"/>
      <c r="I1123" s="27"/>
      <c r="J1123" s="27"/>
    </row>
    <row r="1124" ht="15" customHeight="1">
      <c r="A1124" s="26">
        <v>1118</v>
      </c>
      <c r="B1124" s="26"/>
      <c r="C1124" s="26"/>
      <c r="D1124" s="26"/>
      <c r="E1124" s="26"/>
      <c r="F1124" s="26"/>
      <c r="G1124" s="26"/>
      <c r="H1124" s="26"/>
      <c r="I1124" s="26"/>
      <c r="J1124" s="26"/>
    </row>
    <row r="1125" ht="15" customHeight="1">
      <c r="A1125" s="27">
        <v>1119</v>
      </c>
      <c r="B1125" s="27"/>
      <c r="C1125" s="27"/>
      <c r="D1125" s="27"/>
      <c r="E1125" s="27"/>
      <c r="F1125" s="27"/>
      <c r="G1125" s="27"/>
      <c r="H1125" s="27"/>
      <c r="I1125" s="27"/>
      <c r="J1125" s="27"/>
    </row>
    <row r="1126" ht="15" customHeight="1">
      <c r="A1126" s="26">
        <v>1120</v>
      </c>
      <c r="B1126" s="26"/>
      <c r="C1126" s="26"/>
      <c r="D1126" s="26"/>
      <c r="E1126" s="26"/>
      <c r="F1126" s="26"/>
      <c r="G1126" s="26"/>
      <c r="H1126" s="26"/>
      <c r="I1126" s="26"/>
      <c r="J1126" s="26"/>
    </row>
    <row r="1127" ht="15" customHeight="1">
      <c r="A1127" s="27">
        <v>1121</v>
      </c>
      <c r="B1127" s="27"/>
      <c r="C1127" s="27"/>
      <c r="D1127" s="27"/>
      <c r="E1127" s="27"/>
      <c r="F1127" s="27"/>
      <c r="G1127" s="27"/>
      <c r="H1127" s="27"/>
      <c r="I1127" s="27"/>
      <c r="J1127" s="27"/>
    </row>
    <row r="1128" ht="15" customHeight="1">
      <c r="A1128" s="26">
        <v>1122</v>
      </c>
      <c r="B1128" s="26"/>
      <c r="C1128" s="26"/>
      <c r="D1128" s="26"/>
      <c r="E1128" s="26"/>
      <c r="F1128" s="26"/>
      <c r="G1128" s="26"/>
      <c r="H1128" s="26"/>
      <c r="I1128" s="26"/>
      <c r="J1128" s="26"/>
    </row>
    <row r="1129" ht="15" customHeight="1">
      <c r="A1129" s="27">
        <v>1123</v>
      </c>
      <c r="B1129" s="27"/>
      <c r="C1129" s="27"/>
      <c r="D1129" s="27"/>
      <c r="E1129" s="27"/>
      <c r="F1129" s="27"/>
      <c r="G1129" s="27"/>
      <c r="H1129" s="27"/>
      <c r="I1129" s="27"/>
      <c r="J1129" s="27"/>
    </row>
    <row r="1130" ht="15" customHeight="1">
      <c r="A1130" s="26">
        <v>1124</v>
      </c>
      <c r="B1130" s="26"/>
      <c r="C1130" s="26"/>
      <c r="D1130" s="26"/>
      <c r="E1130" s="26"/>
      <c r="F1130" s="26"/>
      <c r="G1130" s="26"/>
      <c r="H1130" s="26"/>
      <c r="I1130" s="26"/>
      <c r="J1130" s="26"/>
    </row>
    <row r="1131" ht="15" customHeight="1">
      <c r="A1131" s="27">
        <v>1125</v>
      </c>
      <c r="B1131" s="27"/>
      <c r="C1131" s="27"/>
      <c r="D1131" s="27"/>
      <c r="E1131" s="27"/>
      <c r="F1131" s="27"/>
      <c r="G1131" s="27"/>
      <c r="H1131" s="27"/>
      <c r="I1131" s="27"/>
      <c r="J1131" s="27"/>
    </row>
    <row r="1132" ht="15" customHeight="1">
      <c r="A1132" s="26">
        <v>1126</v>
      </c>
      <c r="B1132" s="26"/>
      <c r="C1132" s="26"/>
      <c r="D1132" s="26"/>
      <c r="E1132" s="26"/>
      <c r="F1132" s="26"/>
      <c r="G1132" s="26"/>
      <c r="H1132" s="26"/>
      <c r="I1132" s="26"/>
      <c r="J1132" s="26"/>
    </row>
    <row r="1133" ht="15" customHeight="1">
      <c r="A1133" s="27">
        <v>1127</v>
      </c>
      <c r="B1133" s="27"/>
      <c r="C1133" s="27"/>
      <c r="D1133" s="27"/>
      <c r="E1133" s="27"/>
      <c r="F1133" s="27"/>
      <c r="G1133" s="27"/>
      <c r="H1133" s="27"/>
      <c r="I1133" s="27"/>
      <c r="J1133" s="27"/>
    </row>
    <row r="1134" ht="15" customHeight="1">
      <c r="A1134" s="26">
        <v>1128</v>
      </c>
      <c r="B1134" s="26"/>
      <c r="C1134" s="26"/>
      <c r="D1134" s="26"/>
      <c r="E1134" s="26"/>
      <c r="F1134" s="26"/>
      <c r="G1134" s="26"/>
      <c r="H1134" s="26"/>
      <c r="I1134" s="26"/>
      <c r="J1134" s="26"/>
    </row>
    <row r="1135" ht="15" customHeight="1">
      <c r="A1135" s="27">
        <v>1129</v>
      </c>
      <c r="B1135" s="27"/>
      <c r="C1135" s="27"/>
      <c r="D1135" s="27"/>
      <c r="E1135" s="27"/>
      <c r="F1135" s="27"/>
      <c r="G1135" s="27"/>
      <c r="H1135" s="27"/>
      <c r="I1135" s="27"/>
      <c r="J1135" s="27"/>
    </row>
    <row r="1136" ht="15" customHeight="1">
      <c r="A1136" s="26">
        <v>1130</v>
      </c>
      <c r="B1136" s="26"/>
      <c r="C1136" s="26"/>
      <c r="D1136" s="26"/>
      <c r="E1136" s="26"/>
      <c r="F1136" s="26"/>
      <c r="G1136" s="26"/>
      <c r="H1136" s="26"/>
      <c r="I1136" s="26"/>
      <c r="J1136" s="26"/>
    </row>
    <row r="1137" ht="15" customHeight="1">
      <c r="A1137" s="27">
        <v>1131</v>
      </c>
      <c r="B1137" s="27"/>
      <c r="C1137" s="27"/>
      <c r="D1137" s="27"/>
      <c r="E1137" s="27"/>
      <c r="F1137" s="27"/>
      <c r="G1137" s="27"/>
      <c r="H1137" s="27"/>
      <c r="I1137" s="27"/>
      <c r="J1137" s="27"/>
    </row>
    <row r="1138" ht="15" customHeight="1">
      <c r="A1138" s="26">
        <v>1132</v>
      </c>
      <c r="B1138" s="26"/>
      <c r="C1138" s="26"/>
      <c r="D1138" s="26"/>
      <c r="E1138" s="26"/>
      <c r="F1138" s="26"/>
      <c r="G1138" s="26"/>
      <c r="H1138" s="26"/>
      <c r="I1138" s="26"/>
      <c r="J1138" s="26"/>
    </row>
    <row r="1139" ht="15" customHeight="1">
      <c r="A1139" s="27">
        <v>1133</v>
      </c>
      <c r="B1139" s="27"/>
      <c r="C1139" s="27"/>
      <c r="D1139" s="27"/>
      <c r="E1139" s="27"/>
      <c r="F1139" s="27"/>
      <c r="G1139" s="27"/>
      <c r="H1139" s="27"/>
      <c r="I1139" s="27"/>
      <c r="J1139" s="27"/>
    </row>
    <row r="1140" ht="15" customHeight="1">
      <c r="A1140" s="26">
        <v>1134</v>
      </c>
      <c r="B1140" s="26"/>
      <c r="C1140" s="26"/>
      <c r="D1140" s="26"/>
      <c r="E1140" s="26"/>
      <c r="F1140" s="26"/>
      <c r="G1140" s="26"/>
      <c r="H1140" s="26"/>
      <c r="I1140" s="26"/>
      <c r="J1140" s="26"/>
    </row>
    <row r="1141" ht="15" customHeight="1">
      <c r="A1141" s="27">
        <v>1135</v>
      </c>
      <c r="B1141" s="27"/>
      <c r="C1141" s="27"/>
      <c r="D1141" s="27"/>
      <c r="E1141" s="27"/>
      <c r="F1141" s="27"/>
      <c r="G1141" s="27"/>
      <c r="H1141" s="27"/>
      <c r="I1141" s="27"/>
      <c r="J1141" s="27"/>
    </row>
    <row r="1142" ht="15" customHeight="1">
      <c r="A1142" s="26">
        <v>1136</v>
      </c>
      <c r="B1142" s="26"/>
      <c r="C1142" s="26"/>
      <c r="D1142" s="26"/>
      <c r="E1142" s="26"/>
      <c r="F1142" s="26"/>
      <c r="G1142" s="26"/>
      <c r="H1142" s="26"/>
      <c r="I1142" s="26"/>
      <c r="J1142" s="26"/>
    </row>
    <row r="1143" ht="15" customHeight="1">
      <c r="A1143" s="27">
        <v>1137</v>
      </c>
      <c r="B1143" s="27"/>
      <c r="C1143" s="27"/>
      <c r="D1143" s="27"/>
      <c r="E1143" s="27"/>
      <c r="F1143" s="27"/>
      <c r="G1143" s="27"/>
      <c r="H1143" s="27"/>
      <c r="I1143" s="27"/>
      <c r="J1143" s="27"/>
    </row>
    <row r="1144" ht="15" customHeight="1">
      <c r="A1144" s="26">
        <v>1138</v>
      </c>
      <c r="B1144" s="26"/>
      <c r="C1144" s="26"/>
      <c r="D1144" s="26"/>
      <c r="E1144" s="26"/>
      <c r="F1144" s="26"/>
      <c r="G1144" s="26"/>
      <c r="H1144" s="26"/>
      <c r="I1144" s="26"/>
      <c r="J1144" s="26"/>
    </row>
    <row r="1145" ht="15" customHeight="1">
      <c r="A1145" s="27">
        <v>1139</v>
      </c>
      <c r="B1145" s="27"/>
      <c r="C1145" s="27"/>
      <c r="D1145" s="27"/>
      <c r="E1145" s="27"/>
      <c r="F1145" s="27"/>
      <c r="G1145" s="27"/>
      <c r="H1145" s="27"/>
      <c r="I1145" s="27"/>
      <c r="J1145" s="27"/>
    </row>
    <row r="1146" ht="15" customHeight="1">
      <c r="A1146" s="26">
        <v>1140</v>
      </c>
      <c r="B1146" s="26"/>
      <c r="C1146" s="26"/>
      <c r="D1146" s="26"/>
      <c r="E1146" s="26"/>
      <c r="F1146" s="26"/>
      <c r="G1146" s="26"/>
      <c r="H1146" s="26"/>
      <c r="I1146" s="26"/>
      <c r="J1146" s="26"/>
    </row>
    <row r="1147" ht="15" customHeight="1">
      <c r="A1147" s="27">
        <v>1141</v>
      </c>
      <c r="B1147" s="27"/>
      <c r="C1147" s="27"/>
      <c r="D1147" s="27"/>
      <c r="E1147" s="27"/>
      <c r="F1147" s="27"/>
      <c r="G1147" s="27"/>
      <c r="H1147" s="27"/>
      <c r="I1147" s="27"/>
      <c r="J1147" s="27"/>
    </row>
    <row r="1148" ht="15" customHeight="1">
      <c r="A1148" s="26">
        <v>1142</v>
      </c>
      <c r="B1148" s="26"/>
      <c r="C1148" s="26"/>
      <c r="D1148" s="26"/>
      <c r="E1148" s="26"/>
      <c r="F1148" s="26"/>
      <c r="G1148" s="26"/>
      <c r="H1148" s="26"/>
      <c r="I1148" s="26"/>
      <c r="J1148" s="26"/>
    </row>
    <row r="1149" ht="15" customHeight="1">
      <c r="A1149" s="27">
        <v>1143</v>
      </c>
      <c r="B1149" s="27"/>
      <c r="C1149" s="27"/>
      <c r="D1149" s="27"/>
      <c r="E1149" s="27"/>
      <c r="F1149" s="27"/>
      <c r="G1149" s="27"/>
      <c r="H1149" s="27"/>
      <c r="I1149" s="27"/>
      <c r="J1149" s="27"/>
    </row>
    <row r="1150" ht="15" customHeight="1">
      <c r="A1150" s="26">
        <v>1144</v>
      </c>
      <c r="B1150" s="26"/>
      <c r="C1150" s="26"/>
      <c r="D1150" s="26"/>
      <c r="E1150" s="26"/>
      <c r="F1150" s="26"/>
      <c r="G1150" s="26"/>
      <c r="H1150" s="26"/>
      <c r="I1150" s="26"/>
      <c r="J1150" s="26"/>
    </row>
    <row r="1151" ht="15" customHeight="1">
      <c r="A1151" s="27">
        <v>1145</v>
      </c>
      <c r="B1151" s="27"/>
      <c r="C1151" s="27"/>
      <c r="D1151" s="27"/>
      <c r="E1151" s="27"/>
      <c r="F1151" s="27"/>
      <c r="G1151" s="27"/>
      <c r="H1151" s="27"/>
      <c r="I1151" s="27"/>
      <c r="J1151" s="27"/>
    </row>
    <row r="1152" ht="15" customHeight="1">
      <c r="A1152" s="26">
        <v>1146</v>
      </c>
      <c r="B1152" s="26"/>
      <c r="C1152" s="26"/>
      <c r="D1152" s="26"/>
      <c r="E1152" s="26"/>
      <c r="F1152" s="26"/>
      <c r="G1152" s="26"/>
      <c r="H1152" s="26"/>
      <c r="I1152" s="26"/>
      <c r="J1152" s="26"/>
    </row>
    <row r="1153" ht="15" customHeight="1">
      <c r="A1153" s="27">
        <v>1147</v>
      </c>
      <c r="B1153" s="27"/>
      <c r="C1153" s="27"/>
      <c r="D1153" s="27"/>
      <c r="E1153" s="27"/>
      <c r="F1153" s="27"/>
      <c r="G1153" s="27"/>
      <c r="H1153" s="27"/>
      <c r="I1153" s="27"/>
      <c r="J1153" s="27"/>
    </row>
    <row r="1154" ht="15" customHeight="1">
      <c r="A1154" s="26">
        <v>1148</v>
      </c>
      <c r="B1154" s="26"/>
      <c r="C1154" s="26"/>
      <c r="D1154" s="26"/>
      <c r="E1154" s="26"/>
      <c r="F1154" s="26"/>
      <c r="G1154" s="26"/>
      <c r="H1154" s="26"/>
      <c r="I1154" s="26"/>
      <c r="J1154" s="26"/>
    </row>
    <row r="1155" ht="15" customHeight="1">
      <c r="A1155" s="27">
        <v>1149</v>
      </c>
      <c r="B1155" s="27"/>
      <c r="C1155" s="27"/>
      <c r="D1155" s="27"/>
      <c r="E1155" s="27"/>
      <c r="F1155" s="27"/>
      <c r="G1155" s="27"/>
      <c r="H1155" s="27"/>
      <c r="I1155" s="27"/>
      <c r="J1155" s="27"/>
    </row>
    <row r="1156" ht="15" customHeight="1">
      <c r="A1156" s="26">
        <v>1150</v>
      </c>
      <c r="B1156" s="26"/>
      <c r="C1156" s="26"/>
      <c r="D1156" s="26"/>
      <c r="E1156" s="26"/>
      <c r="F1156" s="26"/>
      <c r="G1156" s="26"/>
      <c r="H1156" s="26"/>
      <c r="I1156" s="26"/>
      <c r="J1156" s="26"/>
    </row>
    <row r="1157" ht="15" customHeight="1">
      <c r="A1157" s="27">
        <v>1151</v>
      </c>
      <c r="B1157" s="27"/>
      <c r="C1157" s="27"/>
      <c r="D1157" s="27"/>
      <c r="E1157" s="27"/>
      <c r="F1157" s="27"/>
      <c r="G1157" s="27"/>
      <c r="H1157" s="27"/>
      <c r="I1157" s="27"/>
      <c r="J1157" s="27"/>
    </row>
    <row r="1158" ht="15" customHeight="1">
      <c r="A1158" s="26">
        <v>1152</v>
      </c>
      <c r="B1158" s="26"/>
      <c r="C1158" s="26"/>
      <c r="D1158" s="26"/>
      <c r="E1158" s="26"/>
      <c r="F1158" s="26"/>
      <c r="G1158" s="26"/>
      <c r="H1158" s="26"/>
      <c r="I1158" s="26"/>
      <c r="J1158" s="26"/>
    </row>
    <row r="1159" ht="15" customHeight="1">
      <c r="A1159" s="27">
        <v>1153</v>
      </c>
      <c r="B1159" s="27"/>
      <c r="C1159" s="27"/>
      <c r="D1159" s="27"/>
      <c r="E1159" s="27"/>
      <c r="F1159" s="27"/>
      <c r="G1159" s="27"/>
      <c r="H1159" s="27"/>
      <c r="I1159" s="27"/>
      <c r="J1159" s="27"/>
    </row>
    <row r="1160" ht="15" customHeight="1">
      <c r="A1160" s="26">
        <v>1154</v>
      </c>
      <c r="B1160" s="26"/>
      <c r="C1160" s="26"/>
      <c r="D1160" s="26"/>
      <c r="E1160" s="26"/>
      <c r="F1160" s="26"/>
      <c r="G1160" s="26"/>
      <c r="H1160" s="26"/>
      <c r="I1160" s="26"/>
      <c r="J1160" s="26"/>
    </row>
    <row r="1161" ht="15" customHeight="1">
      <c r="A1161" s="27">
        <v>1155</v>
      </c>
      <c r="B1161" s="27"/>
      <c r="C1161" s="27"/>
      <c r="D1161" s="27"/>
      <c r="E1161" s="27"/>
      <c r="F1161" s="27"/>
      <c r="G1161" s="27"/>
      <c r="H1161" s="27"/>
      <c r="I1161" s="27"/>
      <c r="J1161" s="27"/>
    </row>
    <row r="1162" ht="15" customHeight="1">
      <c r="A1162" s="26">
        <v>1156</v>
      </c>
      <c r="B1162" s="26"/>
      <c r="C1162" s="26"/>
      <c r="D1162" s="26"/>
      <c r="E1162" s="26"/>
      <c r="F1162" s="26"/>
      <c r="G1162" s="26"/>
      <c r="H1162" s="26"/>
      <c r="I1162" s="26"/>
      <c r="J1162" s="26"/>
    </row>
    <row r="1163" ht="15" customHeight="1">
      <c r="A1163" s="27">
        <v>1157</v>
      </c>
      <c r="B1163" s="27"/>
      <c r="C1163" s="27"/>
      <c r="D1163" s="27"/>
      <c r="E1163" s="27"/>
      <c r="F1163" s="27"/>
      <c r="G1163" s="27"/>
      <c r="H1163" s="27"/>
      <c r="I1163" s="27"/>
      <c r="J1163" s="27"/>
    </row>
    <row r="1164" ht="15" customHeight="1">
      <c r="A1164" s="26">
        <v>1158</v>
      </c>
      <c r="B1164" s="26"/>
      <c r="C1164" s="26"/>
      <c r="D1164" s="26"/>
      <c r="E1164" s="26"/>
      <c r="F1164" s="26"/>
      <c r="G1164" s="26"/>
      <c r="H1164" s="26"/>
      <c r="I1164" s="26"/>
      <c r="J1164" s="26"/>
    </row>
    <row r="1165" ht="15" customHeight="1">
      <c r="A1165" s="27">
        <v>1159</v>
      </c>
      <c r="B1165" s="27"/>
      <c r="C1165" s="27"/>
      <c r="D1165" s="27"/>
      <c r="E1165" s="27"/>
      <c r="F1165" s="27"/>
      <c r="G1165" s="27"/>
      <c r="H1165" s="27"/>
      <c r="I1165" s="27"/>
      <c r="J1165" s="27"/>
    </row>
    <row r="1166" ht="15" customHeight="1">
      <c r="A1166" s="26">
        <v>1160</v>
      </c>
      <c r="B1166" s="26"/>
      <c r="C1166" s="26"/>
      <c r="D1166" s="26"/>
      <c r="E1166" s="26"/>
      <c r="F1166" s="26"/>
      <c r="G1166" s="26"/>
      <c r="H1166" s="26"/>
      <c r="I1166" s="26"/>
      <c r="J1166" s="26"/>
    </row>
    <row r="1167" ht="15" customHeight="1">
      <c r="A1167" s="27">
        <v>1161</v>
      </c>
      <c r="B1167" s="27"/>
      <c r="C1167" s="27"/>
      <c r="D1167" s="27"/>
      <c r="E1167" s="27"/>
      <c r="F1167" s="27"/>
      <c r="G1167" s="27"/>
      <c r="H1167" s="27"/>
      <c r="I1167" s="27"/>
      <c r="J1167" s="27"/>
    </row>
    <row r="1168" ht="15" customHeight="1">
      <c r="A1168" s="26">
        <v>1162</v>
      </c>
      <c r="B1168" s="26"/>
      <c r="C1168" s="26"/>
      <c r="D1168" s="26"/>
      <c r="E1168" s="26"/>
      <c r="F1168" s="26"/>
      <c r="G1168" s="26"/>
      <c r="H1168" s="26"/>
      <c r="I1168" s="26"/>
      <c r="J1168" s="26"/>
    </row>
    <row r="1169" ht="15" customHeight="1">
      <c r="A1169" s="27">
        <v>1163</v>
      </c>
      <c r="B1169" s="27"/>
      <c r="C1169" s="27"/>
      <c r="D1169" s="27"/>
      <c r="E1169" s="27"/>
      <c r="F1169" s="27"/>
      <c r="G1169" s="27"/>
      <c r="H1169" s="27"/>
      <c r="I1169" s="27"/>
      <c r="J1169" s="27"/>
    </row>
    <row r="1170" ht="15" customHeight="1">
      <c r="A1170" s="26">
        <v>1164</v>
      </c>
      <c r="B1170" s="26"/>
      <c r="C1170" s="26"/>
      <c r="D1170" s="26"/>
      <c r="E1170" s="26"/>
      <c r="F1170" s="26"/>
      <c r="G1170" s="26"/>
      <c r="H1170" s="26"/>
      <c r="I1170" s="26"/>
      <c r="J1170" s="26"/>
    </row>
    <row r="1171" ht="15" customHeight="1">
      <c r="A1171" s="27">
        <v>1165</v>
      </c>
      <c r="B1171" s="27"/>
      <c r="C1171" s="27"/>
      <c r="D1171" s="27"/>
      <c r="E1171" s="27"/>
      <c r="F1171" s="27"/>
      <c r="G1171" s="27"/>
      <c r="H1171" s="27"/>
      <c r="I1171" s="27"/>
      <c r="J1171" s="27"/>
    </row>
    <row r="1172" ht="15" customHeight="1">
      <c r="A1172" s="26">
        <v>1166</v>
      </c>
      <c r="B1172" s="26"/>
      <c r="C1172" s="26"/>
      <c r="D1172" s="26"/>
      <c r="E1172" s="26"/>
      <c r="F1172" s="26"/>
      <c r="G1172" s="26"/>
      <c r="H1172" s="26"/>
      <c r="I1172" s="26"/>
      <c r="J1172" s="26"/>
    </row>
    <row r="1173" ht="15" customHeight="1">
      <c r="A1173" s="27">
        <v>1167</v>
      </c>
      <c r="B1173" s="27"/>
      <c r="C1173" s="27"/>
      <c r="D1173" s="27"/>
      <c r="E1173" s="27"/>
      <c r="F1173" s="27"/>
      <c r="G1173" s="27"/>
      <c r="H1173" s="27"/>
      <c r="I1173" s="27"/>
      <c r="J1173" s="27"/>
    </row>
    <row r="1174" ht="15" customHeight="1">
      <c r="A1174" s="26">
        <v>1168</v>
      </c>
      <c r="B1174" s="26"/>
      <c r="C1174" s="26"/>
      <c r="D1174" s="26"/>
      <c r="E1174" s="26"/>
      <c r="F1174" s="26"/>
      <c r="G1174" s="26"/>
      <c r="H1174" s="26"/>
      <c r="I1174" s="26"/>
      <c r="J1174" s="26"/>
    </row>
    <row r="1175" ht="15" customHeight="1">
      <c r="A1175" s="27">
        <v>1169</v>
      </c>
      <c r="B1175" s="27"/>
      <c r="C1175" s="27"/>
      <c r="D1175" s="27"/>
      <c r="E1175" s="27"/>
      <c r="F1175" s="27"/>
      <c r="G1175" s="27"/>
      <c r="H1175" s="27"/>
      <c r="I1175" s="27"/>
      <c r="J1175" s="27"/>
    </row>
    <row r="1176" ht="15" customHeight="1">
      <c r="A1176" s="26">
        <v>1170</v>
      </c>
      <c r="B1176" s="26"/>
      <c r="C1176" s="26"/>
      <c r="D1176" s="26"/>
      <c r="E1176" s="26"/>
      <c r="F1176" s="26"/>
      <c r="G1176" s="26"/>
      <c r="H1176" s="26"/>
      <c r="I1176" s="26"/>
      <c r="J1176" s="26"/>
    </row>
    <row r="1177" ht="15" customHeight="1">
      <c r="A1177" s="27">
        <v>1171</v>
      </c>
      <c r="B1177" s="27"/>
      <c r="C1177" s="27"/>
      <c r="D1177" s="27"/>
      <c r="E1177" s="27"/>
      <c r="F1177" s="27"/>
      <c r="G1177" s="27"/>
      <c r="H1177" s="27"/>
      <c r="I1177" s="27"/>
      <c r="J1177" s="27"/>
    </row>
    <row r="1178" ht="15" customHeight="1">
      <c r="A1178" s="26">
        <v>1172</v>
      </c>
      <c r="B1178" s="26"/>
      <c r="C1178" s="26"/>
      <c r="D1178" s="26"/>
      <c r="E1178" s="26"/>
      <c r="F1178" s="26"/>
      <c r="G1178" s="26"/>
      <c r="H1178" s="26"/>
      <c r="I1178" s="26"/>
      <c r="J1178" s="26"/>
    </row>
    <row r="1179" ht="15" customHeight="1">
      <c r="A1179" s="27">
        <v>1173</v>
      </c>
      <c r="B1179" s="27"/>
      <c r="C1179" s="27"/>
      <c r="D1179" s="27"/>
      <c r="E1179" s="27"/>
      <c r="F1179" s="27"/>
      <c r="G1179" s="27"/>
      <c r="H1179" s="27"/>
      <c r="I1179" s="27"/>
      <c r="J1179" s="27"/>
    </row>
    <row r="1180" ht="15" customHeight="1">
      <c r="A1180" s="26">
        <v>1174</v>
      </c>
      <c r="B1180" s="26"/>
      <c r="C1180" s="26"/>
      <c r="D1180" s="26"/>
      <c r="E1180" s="26"/>
      <c r="F1180" s="26"/>
      <c r="G1180" s="26"/>
      <c r="H1180" s="26"/>
      <c r="I1180" s="26"/>
      <c r="J1180" s="26"/>
    </row>
    <row r="1181" ht="15" customHeight="1">
      <c r="A1181" s="27">
        <v>1175</v>
      </c>
      <c r="B1181" s="27"/>
      <c r="C1181" s="27"/>
      <c r="D1181" s="27"/>
      <c r="E1181" s="27"/>
      <c r="F1181" s="27"/>
      <c r="G1181" s="27"/>
      <c r="H1181" s="27"/>
      <c r="I1181" s="27"/>
      <c r="J1181" s="27"/>
    </row>
    <row r="1182" ht="15" customHeight="1">
      <c r="A1182" s="26">
        <v>1176</v>
      </c>
      <c r="B1182" s="26"/>
      <c r="C1182" s="26"/>
      <c r="D1182" s="26"/>
      <c r="E1182" s="26"/>
      <c r="F1182" s="26"/>
      <c r="G1182" s="26"/>
      <c r="H1182" s="26"/>
      <c r="I1182" s="26"/>
      <c r="J1182" s="26"/>
    </row>
    <row r="1183" ht="15" customHeight="1">
      <c r="A1183" s="27">
        <v>1177</v>
      </c>
      <c r="B1183" s="27"/>
      <c r="C1183" s="27"/>
      <c r="D1183" s="27"/>
      <c r="E1183" s="27"/>
      <c r="F1183" s="27"/>
      <c r="G1183" s="27"/>
      <c r="H1183" s="27"/>
      <c r="I1183" s="27"/>
      <c r="J1183" s="27"/>
    </row>
    <row r="1184" ht="15" customHeight="1">
      <c r="A1184" s="26">
        <v>1178</v>
      </c>
      <c r="B1184" s="26"/>
      <c r="C1184" s="26"/>
      <c r="D1184" s="26"/>
      <c r="E1184" s="26"/>
      <c r="F1184" s="26"/>
      <c r="G1184" s="26"/>
      <c r="H1184" s="26"/>
      <c r="I1184" s="26"/>
      <c r="J1184" s="26"/>
    </row>
    <row r="1185" ht="15" customHeight="1">
      <c r="A1185" s="27">
        <v>1179</v>
      </c>
      <c r="B1185" s="27"/>
      <c r="C1185" s="27"/>
      <c r="D1185" s="27"/>
      <c r="E1185" s="27"/>
      <c r="F1185" s="27"/>
      <c r="G1185" s="27"/>
      <c r="H1185" s="27"/>
      <c r="I1185" s="27"/>
      <c r="J1185" s="27"/>
    </row>
    <row r="1186" ht="15" customHeight="1">
      <c r="A1186" s="26">
        <v>1180</v>
      </c>
      <c r="B1186" s="26"/>
      <c r="C1186" s="26"/>
      <c r="D1186" s="26"/>
      <c r="E1186" s="26"/>
      <c r="F1186" s="26"/>
      <c r="G1186" s="26"/>
      <c r="H1186" s="26"/>
      <c r="I1186" s="26"/>
      <c r="J1186" s="26"/>
    </row>
    <row r="1187" ht="15" customHeight="1">
      <c r="A1187" s="27">
        <v>1181</v>
      </c>
      <c r="B1187" s="27"/>
      <c r="C1187" s="27"/>
      <c r="D1187" s="27"/>
      <c r="E1187" s="27"/>
      <c r="F1187" s="27"/>
      <c r="G1187" s="27"/>
      <c r="H1187" s="27"/>
      <c r="I1187" s="27"/>
      <c r="J1187" s="27"/>
    </row>
    <row r="1188" ht="15" customHeight="1">
      <c r="A1188" s="26">
        <v>1182</v>
      </c>
      <c r="B1188" s="26"/>
      <c r="C1188" s="26"/>
      <c r="D1188" s="26"/>
      <c r="E1188" s="26"/>
      <c r="F1188" s="26"/>
      <c r="G1188" s="26"/>
      <c r="H1188" s="26"/>
      <c r="I1188" s="26"/>
      <c r="J1188" s="26"/>
    </row>
    <row r="1189" ht="15" customHeight="1">
      <c r="A1189" s="27">
        <v>1183</v>
      </c>
      <c r="B1189" s="27"/>
      <c r="C1189" s="27"/>
      <c r="D1189" s="27"/>
      <c r="E1189" s="27"/>
      <c r="F1189" s="27"/>
      <c r="G1189" s="27"/>
      <c r="H1189" s="27"/>
      <c r="I1189" s="27"/>
      <c r="J1189" s="27"/>
    </row>
    <row r="1190" ht="15" customHeight="1">
      <c r="A1190" s="26">
        <v>1184</v>
      </c>
      <c r="B1190" s="26"/>
      <c r="C1190" s="26"/>
      <c r="D1190" s="26"/>
      <c r="E1190" s="26"/>
      <c r="F1190" s="26"/>
      <c r="G1190" s="26"/>
      <c r="H1190" s="26"/>
      <c r="I1190" s="26"/>
      <c r="J1190" s="26"/>
    </row>
    <row r="1191" ht="15" customHeight="1">
      <c r="A1191" s="27">
        <v>1185</v>
      </c>
      <c r="B1191" s="27"/>
      <c r="C1191" s="27"/>
      <c r="D1191" s="27"/>
      <c r="E1191" s="27"/>
      <c r="F1191" s="27"/>
      <c r="G1191" s="27"/>
      <c r="H1191" s="27"/>
      <c r="I1191" s="27"/>
      <c r="J1191" s="27"/>
    </row>
    <row r="1192" ht="15" customHeight="1">
      <c r="A1192" s="26">
        <v>1186</v>
      </c>
      <c r="B1192" s="26"/>
      <c r="C1192" s="26"/>
      <c r="D1192" s="26"/>
      <c r="E1192" s="26"/>
      <c r="F1192" s="26"/>
      <c r="G1192" s="26"/>
      <c r="H1192" s="26"/>
      <c r="I1192" s="26"/>
      <c r="J1192" s="26"/>
    </row>
    <row r="1193" ht="15" customHeight="1">
      <c r="A1193" s="27">
        <v>1187</v>
      </c>
      <c r="B1193" s="27"/>
      <c r="C1193" s="27"/>
      <c r="D1193" s="27"/>
      <c r="E1193" s="27"/>
      <c r="F1193" s="27"/>
      <c r="G1193" s="27"/>
      <c r="H1193" s="27"/>
      <c r="I1193" s="27"/>
      <c r="J1193" s="27"/>
    </row>
    <row r="1194" ht="15" customHeight="1">
      <c r="A1194" s="26">
        <v>1188</v>
      </c>
      <c r="B1194" s="26"/>
      <c r="C1194" s="26"/>
      <c r="D1194" s="26"/>
      <c r="E1194" s="26"/>
      <c r="F1194" s="26"/>
      <c r="G1194" s="26"/>
      <c r="H1194" s="26"/>
      <c r="I1194" s="26"/>
      <c r="J1194" s="26"/>
    </row>
    <row r="1195" ht="15" customHeight="1">
      <c r="A1195" s="27">
        <v>1189</v>
      </c>
      <c r="B1195" s="27"/>
      <c r="C1195" s="27"/>
      <c r="D1195" s="27"/>
      <c r="E1195" s="27"/>
      <c r="F1195" s="27"/>
      <c r="G1195" s="27"/>
      <c r="H1195" s="27"/>
      <c r="I1195" s="27"/>
      <c r="J1195" s="27"/>
    </row>
    <row r="1196" ht="15" customHeight="1">
      <c r="A1196" s="26">
        <v>1190</v>
      </c>
      <c r="B1196" s="26"/>
      <c r="C1196" s="26"/>
      <c r="D1196" s="26"/>
      <c r="E1196" s="26"/>
      <c r="F1196" s="26"/>
      <c r="G1196" s="26"/>
      <c r="H1196" s="26"/>
      <c r="I1196" s="26"/>
      <c r="J1196" s="26"/>
    </row>
    <row r="1197" ht="15" customHeight="1">
      <c r="A1197" s="27">
        <v>1191</v>
      </c>
      <c r="B1197" s="27"/>
      <c r="C1197" s="27"/>
      <c r="D1197" s="27"/>
      <c r="E1197" s="27"/>
      <c r="F1197" s="27"/>
      <c r="G1197" s="27"/>
      <c r="H1197" s="27"/>
      <c r="I1197" s="27"/>
      <c r="J1197" s="27"/>
    </row>
    <row r="1198" ht="15" customHeight="1">
      <c r="A1198" s="26">
        <v>1192</v>
      </c>
      <c r="B1198" s="26"/>
      <c r="C1198" s="26"/>
      <c r="D1198" s="26"/>
      <c r="E1198" s="26"/>
      <c r="F1198" s="26"/>
      <c r="G1198" s="26"/>
      <c r="H1198" s="26"/>
      <c r="I1198" s="26"/>
      <c r="J1198" s="26"/>
    </row>
    <row r="1199" ht="15" customHeight="1">
      <c r="A1199" s="27">
        <v>1193</v>
      </c>
      <c r="B1199" s="27"/>
      <c r="C1199" s="27"/>
      <c r="D1199" s="27"/>
      <c r="E1199" s="27"/>
      <c r="F1199" s="27"/>
      <c r="G1199" s="27"/>
      <c r="H1199" s="27"/>
      <c r="I1199" s="27"/>
      <c r="J1199" s="27"/>
    </row>
    <row r="1200" ht="15" customHeight="1">
      <c r="A1200" s="26">
        <v>1194</v>
      </c>
      <c r="B1200" s="26"/>
      <c r="C1200" s="26"/>
      <c r="D1200" s="26"/>
      <c r="E1200" s="26"/>
      <c r="F1200" s="26"/>
      <c r="G1200" s="26"/>
      <c r="H1200" s="26"/>
      <c r="I1200" s="26"/>
      <c r="J1200" s="26"/>
    </row>
    <row r="1201" ht="15" customHeight="1">
      <c r="A1201" s="27">
        <v>1195</v>
      </c>
      <c r="B1201" s="27"/>
      <c r="C1201" s="27"/>
      <c r="D1201" s="27"/>
      <c r="E1201" s="27"/>
      <c r="F1201" s="27"/>
      <c r="G1201" s="27"/>
      <c r="H1201" s="27"/>
      <c r="I1201" s="27"/>
      <c r="J1201" s="27"/>
    </row>
    <row r="1202" ht="15" customHeight="1">
      <c r="A1202" s="26">
        <v>1196</v>
      </c>
      <c r="B1202" s="26"/>
      <c r="C1202" s="26"/>
      <c r="D1202" s="26"/>
      <c r="E1202" s="26"/>
      <c r="F1202" s="26"/>
      <c r="G1202" s="26"/>
      <c r="H1202" s="26"/>
      <c r="I1202" s="26"/>
      <c r="J1202" s="26"/>
    </row>
    <row r="1203" ht="15" customHeight="1">
      <c r="A1203" s="27">
        <v>1197</v>
      </c>
      <c r="B1203" s="27"/>
      <c r="C1203" s="27"/>
      <c r="D1203" s="27"/>
      <c r="E1203" s="27"/>
      <c r="F1203" s="27"/>
      <c r="G1203" s="27"/>
      <c r="H1203" s="27"/>
      <c r="I1203" s="27"/>
      <c r="J1203" s="27"/>
    </row>
    <row r="1204" ht="15" customHeight="1">
      <c r="A1204" s="26">
        <v>1198</v>
      </c>
      <c r="B1204" s="26"/>
      <c r="C1204" s="26"/>
      <c r="D1204" s="26"/>
      <c r="E1204" s="26"/>
      <c r="F1204" s="26"/>
      <c r="G1204" s="26"/>
      <c r="H1204" s="26"/>
      <c r="I1204" s="26"/>
      <c r="J1204" s="26"/>
    </row>
    <row r="1205" ht="15" customHeight="1">
      <c r="A1205" s="27">
        <v>1199</v>
      </c>
      <c r="B1205" s="27"/>
      <c r="C1205" s="27"/>
      <c r="D1205" s="27"/>
      <c r="E1205" s="27"/>
      <c r="F1205" s="27"/>
      <c r="G1205" s="27"/>
      <c r="H1205" s="27"/>
      <c r="I1205" s="27"/>
      <c r="J1205" s="27"/>
    </row>
    <row r="1206" ht="15" customHeight="1">
      <c r="A1206" s="26">
        <v>1200</v>
      </c>
      <c r="B1206" s="26"/>
      <c r="C1206" s="26"/>
      <c r="D1206" s="26"/>
      <c r="E1206" s="26"/>
      <c r="F1206" s="26"/>
      <c r="G1206" s="26"/>
      <c r="H1206" s="26"/>
      <c r="I1206" s="26"/>
      <c r="J1206" s="26"/>
    </row>
    <row r="1207" ht="15" customHeight="1">
      <c r="A1207" s="27">
        <v>1201</v>
      </c>
      <c r="B1207" s="27"/>
      <c r="C1207" s="27"/>
      <c r="D1207" s="27"/>
      <c r="E1207" s="27"/>
      <c r="F1207" s="27"/>
      <c r="G1207" s="27"/>
      <c r="H1207" s="27"/>
      <c r="I1207" s="27"/>
      <c r="J1207" s="27"/>
    </row>
    <row r="1208" ht="15" customHeight="1">
      <c r="A1208" s="26">
        <v>1202</v>
      </c>
      <c r="B1208" s="26"/>
      <c r="C1208" s="26"/>
      <c r="D1208" s="26"/>
      <c r="E1208" s="26"/>
      <c r="F1208" s="26"/>
      <c r="G1208" s="26"/>
      <c r="H1208" s="26"/>
      <c r="I1208" s="26"/>
      <c r="J1208" s="26"/>
    </row>
    <row r="1209" ht="15" customHeight="1">
      <c r="A1209" s="27">
        <v>1203</v>
      </c>
      <c r="B1209" s="27"/>
      <c r="C1209" s="27"/>
      <c r="D1209" s="27"/>
      <c r="E1209" s="27"/>
      <c r="F1209" s="27"/>
      <c r="G1209" s="27"/>
      <c r="H1209" s="27"/>
      <c r="I1209" s="27"/>
      <c r="J1209" s="27"/>
    </row>
    <row r="1210" ht="15" customHeight="1">
      <c r="A1210" s="26">
        <v>1204</v>
      </c>
      <c r="B1210" s="26"/>
      <c r="C1210" s="26"/>
      <c r="D1210" s="26"/>
      <c r="E1210" s="26"/>
      <c r="F1210" s="26"/>
      <c r="G1210" s="26"/>
      <c r="H1210" s="26"/>
      <c r="I1210" s="26"/>
      <c r="J1210" s="26"/>
    </row>
    <row r="1211" ht="15" customHeight="1">
      <c r="A1211" s="27">
        <v>1205</v>
      </c>
      <c r="B1211" s="27"/>
      <c r="C1211" s="27"/>
      <c r="D1211" s="27"/>
      <c r="E1211" s="27"/>
      <c r="F1211" s="27"/>
      <c r="G1211" s="27"/>
      <c r="H1211" s="27"/>
      <c r="I1211" s="27"/>
      <c r="J1211" s="27"/>
    </row>
    <row r="1212" ht="15" customHeight="1">
      <c r="A1212" s="26">
        <v>1206</v>
      </c>
      <c r="B1212" s="26"/>
      <c r="C1212" s="26"/>
      <c r="D1212" s="26"/>
      <c r="E1212" s="26"/>
      <c r="F1212" s="26"/>
      <c r="G1212" s="26"/>
      <c r="H1212" s="26"/>
      <c r="I1212" s="26"/>
      <c r="J1212" s="26"/>
    </row>
    <row r="1213" ht="15" customHeight="1">
      <c r="A1213" s="27">
        <v>1207</v>
      </c>
      <c r="B1213" s="27"/>
      <c r="C1213" s="27"/>
      <c r="D1213" s="27"/>
      <c r="E1213" s="27"/>
      <c r="F1213" s="27"/>
      <c r="G1213" s="27"/>
      <c r="H1213" s="27"/>
      <c r="I1213" s="27"/>
      <c r="J1213" s="27"/>
    </row>
    <row r="1214" ht="15" customHeight="1">
      <c r="A1214" s="26">
        <v>1208</v>
      </c>
      <c r="B1214" s="26"/>
      <c r="C1214" s="26"/>
      <c r="D1214" s="26"/>
      <c r="E1214" s="26"/>
      <c r="F1214" s="26"/>
      <c r="G1214" s="26"/>
      <c r="H1214" s="26"/>
      <c r="I1214" s="26"/>
      <c r="J1214" s="26"/>
    </row>
    <row r="1215" ht="15" customHeight="1">
      <c r="A1215" s="27">
        <v>1209</v>
      </c>
      <c r="B1215" s="27"/>
      <c r="C1215" s="27"/>
      <c r="D1215" s="27"/>
      <c r="E1215" s="27"/>
      <c r="F1215" s="27"/>
      <c r="G1215" s="27"/>
      <c r="H1215" s="27"/>
      <c r="I1215" s="27"/>
      <c r="J1215" s="27"/>
    </row>
    <row r="1216" ht="15" customHeight="1">
      <c r="A1216" s="26">
        <v>1210</v>
      </c>
      <c r="B1216" s="26"/>
      <c r="C1216" s="26"/>
      <c r="D1216" s="26"/>
      <c r="E1216" s="26"/>
      <c r="F1216" s="26"/>
      <c r="G1216" s="26"/>
      <c r="H1216" s="26"/>
      <c r="I1216" s="26"/>
      <c r="J1216" s="26"/>
    </row>
    <row r="1217" ht="15" customHeight="1">
      <c r="A1217" s="27">
        <v>1211</v>
      </c>
      <c r="B1217" s="27"/>
      <c r="C1217" s="27"/>
      <c r="D1217" s="27"/>
      <c r="E1217" s="27"/>
      <c r="F1217" s="27"/>
      <c r="G1217" s="27"/>
      <c r="H1217" s="27"/>
      <c r="I1217" s="27"/>
      <c r="J1217" s="27"/>
    </row>
    <row r="1218" ht="15" customHeight="1">
      <c r="A1218" s="26">
        <v>1212</v>
      </c>
      <c r="B1218" s="26"/>
      <c r="C1218" s="26"/>
      <c r="D1218" s="26"/>
      <c r="E1218" s="26"/>
      <c r="F1218" s="26"/>
      <c r="G1218" s="26"/>
      <c r="H1218" s="26"/>
      <c r="I1218" s="26"/>
      <c r="J1218" s="26"/>
    </row>
    <row r="1219" ht="15" customHeight="1">
      <c r="A1219" s="27">
        <v>1213</v>
      </c>
      <c r="B1219" s="27"/>
      <c r="C1219" s="27"/>
      <c r="D1219" s="27"/>
      <c r="E1219" s="27"/>
      <c r="F1219" s="27"/>
      <c r="G1219" s="27"/>
      <c r="H1219" s="27"/>
      <c r="I1219" s="27"/>
      <c r="J1219" s="27"/>
    </row>
    <row r="1220" ht="15" customHeight="1">
      <c r="A1220" s="26">
        <v>1214</v>
      </c>
      <c r="B1220" s="26"/>
      <c r="C1220" s="26"/>
      <c r="D1220" s="26"/>
      <c r="E1220" s="26"/>
      <c r="F1220" s="26"/>
      <c r="G1220" s="26"/>
      <c r="H1220" s="26"/>
      <c r="I1220" s="26"/>
      <c r="J1220" s="26"/>
    </row>
    <row r="1221" ht="15" customHeight="1">
      <c r="A1221" s="27">
        <v>1215</v>
      </c>
      <c r="B1221" s="27"/>
      <c r="C1221" s="27"/>
      <c r="D1221" s="27"/>
      <c r="E1221" s="27"/>
      <c r="F1221" s="27"/>
      <c r="G1221" s="27"/>
      <c r="H1221" s="27"/>
      <c r="I1221" s="27"/>
      <c r="J1221" s="27"/>
    </row>
    <row r="1222" ht="15" customHeight="1">
      <c r="A1222" s="26">
        <v>1216</v>
      </c>
      <c r="B1222" s="26"/>
      <c r="C1222" s="26"/>
      <c r="D1222" s="26"/>
      <c r="E1222" s="26"/>
      <c r="F1222" s="26"/>
      <c r="G1222" s="26"/>
      <c r="H1222" s="26"/>
      <c r="I1222" s="26"/>
      <c r="J1222" s="26"/>
    </row>
    <row r="1223" ht="15" customHeight="1">
      <c r="A1223" s="27">
        <v>1217</v>
      </c>
      <c r="B1223" s="27"/>
      <c r="C1223" s="27"/>
      <c r="D1223" s="27"/>
      <c r="E1223" s="27"/>
      <c r="F1223" s="27"/>
      <c r="G1223" s="27"/>
      <c r="H1223" s="27"/>
      <c r="I1223" s="27"/>
      <c r="J1223" s="27"/>
    </row>
    <row r="1224" ht="15" customHeight="1">
      <c r="A1224" s="26">
        <v>1218</v>
      </c>
      <c r="B1224" s="26"/>
      <c r="C1224" s="26"/>
      <c r="D1224" s="26"/>
      <c r="E1224" s="26"/>
      <c r="F1224" s="26"/>
      <c r="G1224" s="26"/>
      <c r="H1224" s="26"/>
      <c r="I1224" s="26"/>
      <c r="J1224" s="26"/>
    </row>
    <row r="1225" ht="15" customHeight="1">
      <c r="A1225" s="27">
        <v>1219</v>
      </c>
      <c r="B1225" s="27"/>
      <c r="C1225" s="27"/>
      <c r="D1225" s="27"/>
      <c r="E1225" s="27"/>
      <c r="F1225" s="27"/>
      <c r="G1225" s="27"/>
      <c r="H1225" s="27"/>
      <c r="I1225" s="27"/>
      <c r="J1225" s="27"/>
    </row>
    <row r="1226" ht="15" customHeight="1">
      <c r="A1226" s="26">
        <v>1220</v>
      </c>
      <c r="B1226" s="26"/>
      <c r="C1226" s="26"/>
      <c r="D1226" s="26"/>
      <c r="E1226" s="26"/>
      <c r="F1226" s="26"/>
      <c r="G1226" s="26"/>
      <c r="H1226" s="26"/>
      <c r="I1226" s="26"/>
      <c r="J1226" s="26"/>
    </row>
    <row r="1227" ht="15" customHeight="1">
      <c r="A1227" s="27">
        <v>1221</v>
      </c>
      <c r="B1227" s="27"/>
      <c r="C1227" s="27"/>
      <c r="D1227" s="27"/>
      <c r="E1227" s="27"/>
      <c r="F1227" s="27"/>
      <c r="G1227" s="27"/>
      <c r="H1227" s="27"/>
      <c r="I1227" s="27"/>
      <c r="J1227" s="27"/>
    </row>
    <row r="1228" ht="15" customHeight="1">
      <c r="A1228" s="26">
        <v>1222</v>
      </c>
      <c r="B1228" s="26"/>
      <c r="C1228" s="26"/>
      <c r="D1228" s="26"/>
      <c r="E1228" s="26"/>
      <c r="F1228" s="26"/>
      <c r="G1228" s="26"/>
      <c r="H1228" s="26"/>
      <c r="I1228" s="26"/>
      <c r="J1228" s="26"/>
    </row>
    <row r="1229" ht="15" customHeight="1">
      <c r="A1229" s="27">
        <v>1223</v>
      </c>
      <c r="B1229" s="27"/>
      <c r="C1229" s="27"/>
      <c r="D1229" s="27"/>
      <c r="E1229" s="27"/>
      <c r="F1229" s="27"/>
      <c r="G1229" s="27"/>
      <c r="H1229" s="27"/>
      <c r="I1229" s="27"/>
      <c r="J1229" s="27"/>
    </row>
    <row r="1230" ht="15" customHeight="1">
      <c r="A1230" s="26">
        <v>1224</v>
      </c>
      <c r="B1230" s="26"/>
      <c r="C1230" s="26"/>
      <c r="D1230" s="26"/>
      <c r="E1230" s="26"/>
      <c r="F1230" s="26"/>
      <c r="G1230" s="26"/>
      <c r="H1230" s="26"/>
      <c r="I1230" s="26"/>
      <c r="J1230" s="26"/>
    </row>
    <row r="1231" ht="15" customHeight="1">
      <c r="A1231" s="27">
        <v>1225</v>
      </c>
      <c r="B1231" s="27"/>
      <c r="C1231" s="27"/>
      <c r="D1231" s="27"/>
      <c r="E1231" s="27"/>
      <c r="F1231" s="27"/>
      <c r="G1231" s="27"/>
      <c r="H1231" s="27"/>
      <c r="I1231" s="27"/>
      <c r="J1231" s="27"/>
    </row>
    <row r="1232" ht="15" customHeight="1">
      <c r="A1232" s="26">
        <v>1226</v>
      </c>
      <c r="B1232" s="26"/>
      <c r="C1232" s="26"/>
      <c r="D1232" s="26"/>
      <c r="E1232" s="26"/>
      <c r="F1232" s="26"/>
      <c r="G1232" s="26"/>
      <c r="H1232" s="26"/>
      <c r="I1232" s="26"/>
      <c r="J1232" s="26"/>
    </row>
    <row r="1233" ht="15" customHeight="1">
      <c r="A1233" s="27">
        <v>1227</v>
      </c>
      <c r="B1233" s="27"/>
      <c r="C1233" s="27"/>
      <c r="D1233" s="27"/>
      <c r="E1233" s="27"/>
      <c r="F1233" s="27"/>
      <c r="G1233" s="27"/>
      <c r="H1233" s="27"/>
      <c r="I1233" s="27"/>
      <c r="J1233" s="27"/>
    </row>
    <row r="1234" ht="15" customHeight="1">
      <c r="A1234" s="26">
        <v>1228</v>
      </c>
      <c r="B1234" s="26"/>
      <c r="C1234" s="26"/>
      <c r="D1234" s="26"/>
      <c r="E1234" s="26"/>
      <c r="F1234" s="26"/>
      <c r="G1234" s="26"/>
      <c r="H1234" s="26"/>
      <c r="I1234" s="26"/>
      <c r="J1234" s="26"/>
    </row>
    <row r="1235" ht="15" customHeight="1">
      <c r="A1235" s="27">
        <v>1229</v>
      </c>
      <c r="B1235" s="27"/>
      <c r="C1235" s="27"/>
      <c r="D1235" s="27"/>
      <c r="E1235" s="27"/>
      <c r="F1235" s="27"/>
      <c r="G1235" s="27"/>
      <c r="H1235" s="27"/>
      <c r="I1235" s="27"/>
      <c r="J1235" s="27"/>
    </row>
    <row r="1236" ht="15" customHeight="1">
      <c r="A1236" s="26">
        <v>1230</v>
      </c>
      <c r="B1236" s="26"/>
      <c r="C1236" s="26"/>
      <c r="D1236" s="26"/>
      <c r="E1236" s="26"/>
      <c r="F1236" s="26"/>
      <c r="G1236" s="26"/>
      <c r="H1236" s="26"/>
      <c r="I1236" s="26"/>
      <c r="J1236" s="26"/>
    </row>
    <row r="1237" ht="15" customHeight="1">
      <c r="A1237" s="27">
        <v>1231</v>
      </c>
      <c r="B1237" s="27"/>
      <c r="C1237" s="27"/>
      <c r="D1237" s="27"/>
      <c r="E1237" s="27"/>
      <c r="F1237" s="27"/>
      <c r="G1237" s="27"/>
      <c r="H1237" s="27"/>
      <c r="I1237" s="27"/>
      <c r="J1237" s="27"/>
    </row>
    <row r="1238" ht="15" customHeight="1">
      <c r="A1238" s="26">
        <v>1232</v>
      </c>
      <c r="B1238" s="26"/>
      <c r="C1238" s="26"/>
      <c r="D1238" s="26"/>
      <c r="E1238" s="26"/>
      <c r="F1238" s="26"/>
      <c r="G1238" s="26"/>
      <c r="H1238" s="26"/>
      <c r="I1238" s="26"/>
      <c r="J1238" s="26"/>
    </row>
    <row r="1239" ht="15" customHeight="1">
      <c r="A1239" s="27">
        <v>1233</v>
      </c>
      <c r="B1239" s="27"/>
      <c r="C1239" s="27"/>
      <c r="D1239" s="27"/>
      <c r="E1239" s="27"/>
      <c r="F1239" s="27"/>
      <c r="G1239" s="27"/>
      <c r="H1239" s="27"/>
      <c r="I1239" s="27"/>
      <c r="J1239" s="27"/>
    </row>
    <row r="1240" ht="15" customHeight="1">
      <c r="A1240" s="26">
        <v>1234</v>
      </c>
      <c r="B1240" s="26"/>
      <c r="C1240" s="26"/>
      <c r="D1240" s="26"/>
      <c r="E1240" s="26"/>
      <c r="F1240" s="26"/>
      <c r="G1240" s="26"/>
      <c r="H1240" s="26"/>
      <c r="I1240" s="26"/>
      <c r="J1240" s="26"/>
    </row>
    <row r="1241" ht="15" customHeight="1">
      <c r="A1241" s="27">
        <v>1235</v>
      </c>
      <c r="B1241" s="27"/>
      <c r="C1241" s="27"/>
      <c r="D1241" s="27"/>
      <c r="E1241" s="27"/>
      <c r="F1241" s="27"/>
      <c r="G1241" s="27"/>
      <c r="H1241" s="27"/>
      <c r="I1241" s="27"/>
      <c r="J1241" s="27"/>
    </row>
    <row r="1242" ht="15" customHeight="1">
      <c r="A1242" s="26">
        <v>1236</v>
      </c>
      <c r="B1242" s="26"/>
      <c r="C1242" s="26"/>
      <c r="D1242" s="26"/>
      <c r="E1242" s="26"/>
      <c r="F1242" s="26"/>
      <c r="G1242" s="26"/>
      <c r="H1242" s="26"/>
      <c r="I1242" s="26"/>
      <c r="J1242" s="26"/>
    </row>
    <row r="1243" ht="15" customHeight="1">
      <c r="A1243" s="27">
        <v>1237</v>
      </c>
      <c r="B1243" s="27"/>
      <c r="C1243" s="27"/>
      <c r="D1243" s="27"/>
      <c r="E1243" s="27"/>
      <c r="F1243" s="27"/>
      <c r="G1243" s="27"/>
      <c r="H1243" s="27"/>
      <c r="I1243" s="27"/>
      <c r="J1243" s="27"/>
    </row>
    <row r="1244" ht="15" customHeight="1">
      <c r="A1244" s="26">
        <v>1238</v>
      </c>
      <c r="B1244" s="26"/>
      <c r="C1244" s="26"/>
      <c r="D1244" s="26"/>
      <c r="E1244" s="26"/>
      <c r="F1244" s="26"/>
      <c r="G1244" s="26"/>
      <c r="H1244" s="26"/>
      <c r="I1244" s="26"/>
      <c r="J1244" s="26"/>
    </row>
    <row r="1245" ht="15" customHeight="1">
      <c r="A1245" s="27">
        <v>1239</v>
      </c>
      <c r="B1245" s="27"/>
      <c r="C1245" s="27"/>
      <c r="D1245" s="27"/>
      <c r="E1245" s="27"/>
      <c r="F1245" s="27"/>
      <c r="G1245" s="27"/>
      <c r="H1245" s="27"/>
      <c r="I1245" s="27"/>
      <c r="J1245" s="27"/>
    </row>
    <row r="1246" ht="15" customHeight="1">
      <c r="A1246" s="26">
        <v>1240</v>
      </c>
      <c r="B1246" s="26"/>
      <c r="C1246" s="26"/>
      <c r="D1246" s="26"/>
      <c r="E1246" s="26"/>
      <c r="F1246" s="26"/>
      <c r="G1246" s="26"/>
      <c r="H1246" s="26"/>
      <c r="I1246" s="26"/>
      <c r="J1246" s="26"/>
    </row>
    <row r="1247" ht="15" customHeight="1">
      <c r="A1247" s="27">
        <v>1241</v>
      </c>
      <c r="B1247" s="27"/>
      <c r="C1247" s="27"/>
      <c r="D1247" s="27"/>
      <c r="E1247" s="27"/>
      <c r="F1247" s="27"/>
      <c r="G1247" s="27"/>
      <c r="H1247" s="27"/>
      <c r="I1247" s="27"/>
      <c r="J1247" s="27"/>
    </row>
    <row r="1248" ht="15" customHeight="1">
      <c r="A1248" s="26">
        <v>1242</v>
      </c>
      <c r="B1248" s="26"/>
      <c r="C1248" s="26"/>
      <c r="D1248" s="26"/>
      <c r="E1248" s="26"/>
      <c r="F1248" s="26"/>
      <c r="G1248" s="26"/>
      <c r="H1248" s="26"/>
      <c r="I1248" s="26"/>
      <c r="J1248" s="26"/>
    </row>
    <row r="1249" ht="15" customHeight="1">
      <c r="A1249" s="27">
        <v>1243</v>
      </c>
      <c r="B1249" s="27"/>
      <c r="C1249" s="27"/>
      <c r="D1249" s="27"/>
      <c r="E1249" s="27"/>
      <c r="F1249" s="27"/>
      <c r="G1249" s="27"/>
      <c r="H1249" s="27"/>
      <c r="I1249" s="27"/>
      <c r="J1249" s="27"/>
    </row>
    <row r="1250" ht="15" customHeight="1">
      <c r="A1250" s="26">
        <v>1244</v>
      </c>
      <c r="B1250" s="26"/>
      <c r="C1250" s="26"/>
      <c r="D1250" s="26"/>
      <c r="E1250" s="26"/>
      <c r="F1250" s="26"/>
      <c r="G1250" s="26"/>
      <c r="H1250" s="26"/>
      <c r="I1250" s="26"/>
      <c r="J1250" s="26"/>
    </row>
    <row r="1251" ht="15" customHeight="1">
      <c r="A1251" s="27">
        <v>1245</v>
      </c>
      <c r="B1251" s="27"/>
      <c r="C1251" s="27"/>
      <c r="D1251" s="27"/>
      <c r="E1251" s="27"/>
      <c r="F1251" s="27"/>
      <c r="G1251" s="27"/>
      <c r="H1251" s="27"/>
      <c r="I1251" s="27"/>
      <c r="J1251" s="27"/>
    </row>
    <row r="1252" ht="15" customHeight="1">
      <c r="A1252" s="26">
        <v>1246</v>
      </c>
      <c r="B1252" s="26"/>
      <c r="C1252" s="26"/>
      <c r="D1252" s="26"/>
      <c r="E1252" s="26"/>
      <c r="F1252" s="26"/>
      <c r="G1252" s="26"/>
      <c r="H1252" s="26"/>
      <c r="I1252" s="26"/>
      <c r="J1252" s="26"/>
    </row>
    <row r="1253" ht="15" customHeight="1">
      <c r="A1253" s="27">
        <v>1247</v>
      </c>
      <c r="B1253" s="27"/>
      <c r="C1253" s="27"/>
      <c r="D1253" s="27"/>
      <c r="E1253" s="27"/>
      <c r="F1253" s="27"/>
      <c r="G1253" s="27"/>
      <c r="H1253" s="27"/>
      <c r="I1253" s="27"/>
      <c r="J1253" s="27"/>
    </row>
    <row r="1254" ht="15" customHeight="1">
      <c r="A1254" s="26">
        <v>1248</v>
      </c>
      <c r="B1254" s="26"/>
      <c r="C1254" s="26"/>
      <c r="D1254" s="26"/>
      <c r="E1254" s="26"/>
      <c r="F1254" s="26"/>
      <c r="G1254" s="26"/>
      <c r="H1254" s="26"/>
      <c r="I1254" s="26"/>
      <c r="J1254" s="26"/>
    </row>
    <row r="1255" ht="15" customHeight="1">
      <c r="A1255" s="27">
        <v>1249</v>
      </c>
      <c r="B1255" s="27"/>
      <c r="C1255" s="27"/>
      <c r="D1255" s="27"/>
      <c r="E1255" s="27"/>
      <c r="F1255" s="27"/>
      <c r="G1255" s="27"/>
      <c r="H1255" s="27"/>
      <c r="I1255" s="27"/>
      <c r="J1255" s="27"/>
    </row>
    <row r="1256" ht="15" customHeight="1">
      <c r="A1256" s="26">
        <v>1250</v>
      </c>
      <c r="B1256" s="26"/>
      <c r="C1256" s="26"/>
      <c r="D1256" s="26"/>
      <c r="E1256" s="26"/>
      <c r="F1256" s="26"/>
      <c r="G1256" s="26"/>
      <c r="H1256" s="26"/>
      <c r="I1256" s="26"/>
      <c r="J1256" s="26"/>
    </row>
    <row r="1257" ht="15" customHeight="1">
      <c r="A1257" s="27">
        <v>1251</v>
      </c>
      <c r="B1257" s="27"/>
      <c r="C1257" s="27"/>
      <c r="D1257" s="27"/>
      <c r="E1257" s="27"/>
      <c r="F1257" s="27"/>
      <c r="G1257" s="27"/>
      <c r="H1257" s="27"/>
      <c r="I1257" s="27"/>
      <c r="J1257" s="27"/>
    </row>
    <row r="1258" ht="15" customHeight="1">
      <c r="A1258" s="26">
        <v>1252</v>
      </c>
      <c r="B1258" s="26"/>
      <c r="C1258" s="26"/>
      <c r="D1258" s="26"/>
      <c r="E1258" s="26"/>
      <c r="F1258" s="26"/>
      <c r="G1258" s="26"/>
      <c r="H1258" s="26"/>
      <c r="I1258" s="26"/>
      <c r="J1258" s="26"/>
    </row>
    <row r="1259" ht="15" customHeight="1">
      <c r="A1259" s="27">
        <v>1253</v>
      </c>
      <c r="B1259" s="27"/>
      <c r="C1259" s="27"/>
      <c r="D1259" s="27"/>
      <c r="E1259" s="27"/>
      <c r="F1259" s="27"/>
      <c r="G1259" s="27"/>
      <c r="H1259" s="27"/>
      <c r="I1259" s="27"/>
      <c r="J1259" s="27"/>
    </row>
    <row r="1260" ht="15" customHeight="1">
      <c r="A1260" s="26">
        <v>1254</v>
      </c>
      <c r="B1260" s="26"/>
      <c r="C1260" s="26"/>
      <c r="D1260" s="26"/>
      <c r="E1260" s="26"/>
      <c r="F1260" s="26"/>
      <c r="G1260" s="26"/>
      <c r="H1260" s="26"/>
      <c r="I1260" s="26"/>
      <c r="J1260" s="26"/>
    </row>
    <row r="1261" ht="15" customHeight="1">
      <c r="A1261" s="27">
        <v>1255</v>
      </c>
      <c r="B1261" s="27"/>
      <c r="C1261" s="27"/>
      <c r="D1261" s="27"/>
      <c r="E1261" s="27"/>
      <c r="F1261" s="27"/>
      <c r="G1261" s="27"/>
      <c r="H1261" s="27"/>
      <c r="I1261" s="27"/>
      <c r="J1261" s="27"/>
    </row>
    <row r="1262" ht="15" customHeight="1">
      <c r="A1262" s="26">
        <v>1256</v>
      </c>
      <c r="B1262" s="26"/>
      <c r="C1262" s="26"/>
      <c r="D1262" s="26"/>
      <c r="E1262" s="26"/>
      <c r="F1262" s="26"/>
      <c r="G1262" s="26"/>
      <c r="H1262" s="26"/>
      <c r="I1262" s="26"/>
      <c r="J1262" s="26"/>
    </row>
    <row r="1263" ht="15" customHeight="1">
      <c r="A1263" s="27">
        <v>1257</v>
      </c>
      <c r="B1263" s="27"/>
      <c r="C1263" s="27"/>
      <c r="D1263" s="27"/>
      <c r="E1263" s="27"/>
      <c r="F1263" s="27"/>
      <c r="G1263" s="27"/>
      <c r="H1263" s="27"/>
      <c r="I1263" s="27"/>
      <c r="J1263" s="27"/>
    </row>
    <row r="1264" ht="15" customHeight="1">
      <c r="A1264" s="26">
        <v>1258</v>
      </c>
      <c r="B1264" s="26"/>
      <c r="C1264" s="26"/>
      <c r="D1264" s="26"/>
      <c r="E1264" s="26"/>
      <c r="F1264" s="26"/>
      <c r="G1264" s="26"/>
      <c r="H1264" s="26"/>
      <c r="I1264" s="26"/>
      <c r="J1264" s="26"/>
    </row>
    <row r="1265" ht="15" customHeight="1">
      <c r="A1265" s="27">
        <v>1259</v>
      </c>
      <c r="B1265" s="27"/>
      <c r="C1265" s="27"/>
      <c r="D1265" s="27"/>
      <c r="E1265" s="27"/>
      <c r="F1265" s="27"/>
      <c r="G1265" s="27"/>
      <c r="H1265" s="27"/>
      <c r="I1265" s="27"/>
      <c r="J1265" s="27"/>
    </row>
    <row r="1266" ht="15" customHeight="1">
      <c r="A1266" s="26">
        <v>1260</v>
      </c>
      <c r="B1266" s="26"/>
      <c r="C1266" s="26"/>
      <c r="D1266" s="26"/>
      <c r="E1266" s="26"/>
      <c r="F1266" s="26"/>
      <c r="G1266" s="26"/>
      <c r="H1266" s="26"/>
      <c r="I1266" s="26"/>
      <c r="J1266" s="26"/>
    </row>
    <row r="1267" ht="15" customHeight="1">
      <c r="A1267" s="27">
        <v>1261</v>
      </c>
      <c r="B1267" s="27"/>
      <c r="C1267" s="27"/>
      <c r="D1267" s="27"/>
      <c r="E1267" s="27"/>
      <c r="F1267" s="27"/>
      <c r="G1267" s="27"/>
      <c r="H1267" s="27"/>
      <c r="I1267" s="27"/>
      <c r="J1267" s="27"/>
    </row>
    <row r="1268" ht="15" customHeight="1">
      <c r="A1268" s="26">
        <v>1262</v>
      </c>
      <c r="B1268" s="26"/>
      <c r="C1268" s="26"/>
      <c r="D1268" s="26"/>
      <c r="E1268" s="26"/>
      <c r="F1268" s="26"/>
      <c r="G1268" s="26"/>
      <c r="H1268" s="26"/>
      <c r="I1268" s="26"/>
      <c r="J1268" s="26"/>
    </row>
    <row r="1269" ht="15" customHeight="1">
      <c r="A1269" s="27">
        <v>1263</v>
      </c>
      <c r="B1269" s="27"/>
      <c r="C1269" s="27"/>
      <c r="D1269" s="27"/>
      <c r="E1269" s="27"/>
      <c r="F1269" s="27"/>
      <c r="G1269" s="27"/>
      <c r="H1269" s="27"/>
      <c r="I1269" s="27"/>
      <c r="J1269" s="27"/>
    </row>
    <row r="1270" ht="15" customHeight="1">
      <c r="A1270" s="26">
        <v>1264</v>
      </c>
      <c r="B1270" s="26"/>
      <c r="C1270" s="26"/>
      <c r="D1270" s="26"/>
      <c r="E1270" s="26"/>
      <c r="F1270" s="26"/>
      <c r="G1270" s="26"/>
      <c r="H1270" s="26"/>
      <c r="I1270" s="26"/>
      <c r="J1270" s="26"/>
    </row>
    <row r="1271" ht="15" customHeight="1">
      <c r="A1271" s="27">
        <v>1265</v>
      </c>
      <c r="B1271" s="27"/>
      <c r="C1271" s="27"/>
      <c r="D1271" s="27"/>
      <c r="E1271" s="27"/>
      <c r="F1271" s="27"/>
      <c r="G1271" s="27"/>
      <c r="H1271" s="27"/>
      <c r="I1271" s="27"/>
      <c r="J1271" s="27"/>
    </row>
    <row r="1272" ht="15" customHeight="1">
      <c r="A1272" s="26">
        <v>1266</v>
      </c>
      <c r="B1272" s="26"/>
      <c r="C1272" s="26"/>
      <c r="D1272" s="26"/>
      <c r="E1272" s="26"/>
      <c r="F1272" s="26"/>
      <c r="G1272" s="26"/>
      <c r="H1272" s="26"/>
      <c r="I1272" s="26"/>
      <c r="J1272" s="26"/>
    </row>
    <row r="1273" ht="15" customHeight="1">
      <c r="A1273" s="27">
        <v>1267</v>
      </c>
      <c r="B1273" s="27"/>
      <c r="C1273" s="27"/>
      <c r="D1273" s="27"/>
      <c r="E1273" s="27"/>
      <c r="F1273" s="27"/>
      <c r="G1273" s="27"/>
      <c r="H1273" s="27"/>
      <c r="I1273" s="27"/>
      <c r="J1273" s="27"/>
    </row>
    <row r="1274" ht="15" customHeight="1">
      <c r="A1274" s="26">
        <v>1268</v>
      </c>
      <c r="B1274" s="26"/>
      <c r="C1274" s="26"/>
      <c r="D1274" s="26"/>
      <c r="E1274" s="26"/>
      <c r="F1274" s="26"/>
      <c r="G1274" s="26"/>
      <c r="H1274" s="26"/>
      <c r="I1274" s="26"/>
      <c r="J1274" s="26"/>
    </row>
    <row r="1275" ht="15" customHeight="1">
      <c r="A1275" s="27">
        <v>1269</v>
      </c>
      <c r="B1275" s="27"/>
      <c r="C1275" s="27"/>
      <c r="D1275" s="27"/>
      <c r="E1275" s="27"/>
      <c r="F1275" s="27"/>
      <c r="G1275" s="27"/>
      <c r="H1275" s="27"/>
      <c r="I1275" s="27"/>
      <c r="J1275" s="27"/>
    </row>
    <row r="1276" ht="15" customHeight="1">
      <c r="A1276" s="26">
        <v>1270</v>
      </c>
      <c r="B1276" s="26"/>
      <c r="C1276" s="26"/>
      <c r="D1276" s="26"/>
      <c r="E1276" s="26"/>
      <c r="F1276" s="26"/>
      <c r="G1276" s="26"/>
      <c r="H1276" s="26"/>
      <c r="I1276" s="26"/>
      <c r="J1276" s="26"/>
    </row>
    <row r="1277" ht="15" customHeight="1">
      <c r="A1277" s="27">
        <v>1271</v>
      </c>
      <c r="B1277" s="27"/>
      <c r="C1277" s="27"/>
      <c r="D1277" s="27"/>
      <c r="E1277" s="27"/>
      <c r="F1277" s="27"/>
      <c r="G1277" s="27"/>
      <c r="H1277" s="27"/>
      <c r="I1277" s="27"/>
      <c r="J1277" s="27"/>
    </row>
    <row r="1278" ht="15" customHeight="1">
      <c r="A1278" s="26">
        <v>1272</v>
      </c>
      <c r="B1278" s="26"/>
      <c r="C1278" s="26"/>
      <c r="D1278" s="26"/>
      <c r="E1278" s="26"/>
      <c r="F1278" s="26"/>
      <c r="G1278" s="26"/>
      <c r="H1278" s="26"/>
      <c r="I1278" s="26"/>
      <c r="J1278" s="26"/>
    </row>
    <row r="1279" ht="15" customHeight="1">
      <c r="A1279" s="27">
        <v>1273</v>
      </c>
      <c r="B1279" s="27"/>
      <c r="C1279" s="27"/>
      <c r="D1279" s="27"/>
      <c r="E1279" s="27"/>
      <c r="F1279" s="27"/>
      <c r="G1279" s="27"/>
      <c r="H1279" s="27"/>
      <c r="I1279" s="27"/>
      <c r="J1279" s="27"/>
    </row>
    <row r="1280" ht="15" customHeight="1">
      <c r="A1280" s="26">
        <v>1274</v>
      </c>
      <c r="B1280" s="26"/>
      <c r="C1280" s="26"/>
      <c r="D1280" s="26"/>
      <c r="E1280" s="26"/>
      <c r="F1280" s="26"/>
      <c r="G1280" s="26"/>
      <c r="H1280" s="26"/>
      <c r="I1280" s="26"/>
      <c r="J1280" s="26"/>
    </row>
    <row r="1281" ht="15" customHeight="1">
      <c r="A1281" s="27">
        <v>1275</v>
      </c>
      <c r="B1281" s="27"/>
      <c r="C1281" s="27"/>
      <c r="D1281" s="27"/>
      <c r="E1281" s="27"/>
      <c r="F1281" s="27"/>
      <c r="G1281" s="27"/>
      <c r="H1281" s="27"/>
      <c r="I1281" s="27"/>
      <c r="J1281" s="27"/>
    </row>
    <row r="1282" ht="15" customHeight="1">
      <c r="A1282" s="26">
        <v>1276</v>
      </c>
      <c r="B1282" s="26"/>
      <c r="C1282" s="26"/>
      <c r="D1282" s="26"/>
      <c r="E1282" s="26"/>
      <c r="F1282" s="26"/>
      <c r="G1282" s="26"/>
      <c r="H1282" s="26"/>
      <c r="I1282" s="26"/>
      <c r="J1282" s="26"/>
    </row>
    <row r="1283" ht="15" customHeight="1">
      <c r="A1283" s="27">
        <v>1277</v>
      </c>
      <c r="B1283" s="27"/>
      <c r="C1283" s="27"/>
      <c r="D1283" s="27"/>
      <c r="E1283" s="27"/>
      <c r="F1283" s="27"/>
      <c r="G1283" s="27"/>
      <c r="H1283" s="27"/>
      <c r="I1283" s="27"/>
      <c r="J1283" s="27"/>
    </row>
    <row r="1284" ht="15" customHeight="1">
      <c r="A1284" s="26">
        <v>1278</v>
      </c>
      <c r="B1284" s="26"/>
      <c r="C1284" s="26"/>
      <c r="D1284" s="26"/>
      <c r="E1284" s="26"/>
      <c r="F1284" s="26"/>
      <c r="G1284" s="26"/>
      <c r="H1284" s="26"/>
      <c r="I1284" s="26"/>
      <c r="J1284" s="26"/>
    </row>
    <row r="1285" ht="15" customHeight="1">
      <c r="A1285" s="27">
        <v>1279</v>
      </c>
      <c r="B1285" s="27"/>
      <c r="C1285" s="27"/>
      <c r="D1285" s="27"/>
      <c r="E1285" s="27"/>
      <c r="F1285" s="27"/>
      <c r="G1285" s="27"/>
      <c r="H1285" s="27"/>
      <c r="I1285" s="27"/>
      <c r="J1285" s="27"/>
    </row>
    <row r="1286" ht="15" customHeight="1">
      <c r="A1286" s="26">
        <v>1280</v>
      </c>
      <c r="B1286" s="26"/>
      <c r="C1286" s="26"/>
      <c r="D1286" s="26"/>
      <c r="E1286" s="26"/>
      <c r="F1286" s="26"/>
      <c r="G1286" s="26"/>
      <c r="H1286" s="26"/>
      <c r="I1286" s="26"/>
      <c r="J1286" s="26"/>
    </row>
    <row r="1287" ht="15" customHeight="1">
      <c r="A1287" s="27">
        <v>1281</v>
      </c>
      <c r="B1287" s="27"/>
      <c r="C1287" s="27"/>
      <c r="D1287" s="27"/>
      <c r="E1287" s="27"/>
      <c r="F1287" s="27"/>
      <c r="G1287" s="27"/>
      <c r="H1287" s="27"/>
      <c r="I1287" s="27"/>
      <c r="J1287" s="27"/>
    </row>
    <row r="1288" ht="15" customHeight="1">
      <c r="A1288" s="26">
        <v>1282</v>
      </c>
      <c r="B1288" s="26"/>
      <c r="C1288" s="26"/>
      <c r="D1288" s="26"/>
      <c r="E1288" s="26"/>
      <c r="F1288" s="26"/>
      <c r="G1288" s="26"/>
      <c r="H1288" s="26"/>
      <c r="I1288" s="26"/>
      <c r="J1288" s="26"/>
    </row>
    <row r="1289" ht="15" customHeight="1">
      <c r="A1289" s="27">
        <v>1283</v>
      </c>
      <c r="B1289" s="27"/>
      <c r="C1289" s="27"/>
      <c r="D1289" s="27"/>
      <c r="E1289" s="27"/>
      <c r="F1289" s="27"/>
      <c r="G1289" s="27"/>
      <c r="H1289" s="27"/>
      <c r="I1289" s="27"/>
      <c r="J1289" s="27"/>
    </row>
    <row r="1290" ht="15" customHeight="1">
      <c r="A1290" s="26">
        <v>1284</v>
      </c>
      <c r="B1290" s="26"/>
      <c r="C1290" s="26"/>
      <c r="D1290" s="26"/>
      <c r="E1290" s="26"/>
      <c r="F1290" s="26"/>
      <c r="G1290" s="26"/>
      <c r="H1290" s="26"/>
      <c r="I1290" s="26"/>
      <c r="J1290" s="26"/>
    </row>
    <row r="1291" ht="15" customHeight="1">
      <c r="A1291" s="27">
        <v>1285</v>
      </c>
      <c r="B1291" s="27"/>
      <c r="C1291" s="27"/>
      <c r="D1291" s="27"/>
      <c r="E1291" s="27"/>
      <c r="F1291" s="27"/>
      <c r="G1291" s="27"/>
      <c r="H1291" s="27"/>
      <c r="I1291" s="27"/>
      <c r="J1291" s="27"/>
    </row>
    <row r="1292" ht="15" customHeight="1">
      <c r="A1292" s="26">
        <v>1286</v>
      </c>
      <c r="B1292" s="26"/>
      <c r="C1292" s="26"/>
      <c r="D1292" s="26"/>
      <c r="E1292" s="26"/>
      <c r="F1292" s="26"/>
      <c r="G1292" s="26"/>
      <c r="H1292" s="26"/>
      <c r="I1292" s="26"/>
      <c r="J1292" s="26"/>
    </row>
    <row r="1293" ht="15" customHeight="1">
      <c r="A1293" s="27">
        <v>1287</v>
      </c>
      <c r="B1293" s="27"/>
      <c r="C1293" s="27"/>
      <c r="D1293" s="27"/>
      <c r="E1293" s="27"/>
      <c r="F1293" s="27"/>
      <c r="G1293" s="27"/>
      <c r="H1293" s="27"/>
      <c r="I1293" s="27"/>
      <c r="J1293" s="27"/>
    </row>
    <row r="1294" ht="15" customHeight="1">
      <c r="A1294" s="26">
        <v>1288</v>
      </c>
      <c r="B1294" s="26"/>
      <c r="C1294" s="26"/>
      <c r="D1294" s="26"/>
      <c r="E1294" s="26"/>
      <c r="F1294" s="26"/>
      <c r="G1294" s="26"/>
      <c r="H1294" s="26"/>
      <c r="I1294" s="26"/>
      <c r="J1294" s="26"/>
    </row>
    <row r="1295" ht="15" customHeight="1">
      <c r="A1295" s="27">
        <v>1289</v>
      </c>
      <c r="B1295" s="27"/>
      <c r="C1295" s="27"/>
      <c r="D1295" s="27"/>
      <c r="E1295" s="27"/>
      <c r="F1295" s="27"/>
      <c r="G1295" s="27"/>
      <c r="H1295" s="27"/>
      <c r="I1295" s="27"/>
      <c r="J1295" s="27"/>
    </row>
    <row r="1296" ht="15" customHeight="1">
      <c r="A1296" s="26">
        <v>1290</v>
      </c>
      <c r="B1296" s="26"/>
      <c r="C1296" s="26"/>
      <c r="D1296" s="26"/>
      <c r="E1296" s="26"/>
      <c r="F1296" s="26"/>
      <c r="G1296" s="26"/>
      <c r="H1296" s="26"/>
      <c r="I1296" s="26"/>
      <c r="J1296" s="26"/>
    </row>
    <row r="1297" ht="15" customHeight="1">
      <c r="A1297" s="27">
        <v>1291</v>
      </c>
      <c r="B1297" s="27"/>
      <c r="C1297" s="27"/>
      <c r="D1297" s="27"/>
      <c r="E1297" s="27"/>
      <c r="F1297" s="27"/>
      <c r="G1297" s="27"/>
      <c r="H1297" s="27"/>
      <c r="I1297" s="27"/>
      <c r="J1297" s="27"/>
    </row>
    <row r="1298" ht="15" customHeight="1">
      <c r="A1298" s="26">
        <v>1292</v>
      </c>
      <c r="B1298" s="26"/>
      <c r="C1298" s="26"/>
      <c r="D1298" s="26"/>
      <c r="E1298" s="26"/>
      <c r="F1298" s="26"/>
      <c r="G1298" s="26"/>
      <c r="H1298" s="26"/>
      <c r="I1298" s="26"/>
      <c r="J1298" s="26"/>
    </row>
    <row r="1299" ht="15" customHeight="1">
      <c r="A1299" s="27">
        <v>1293</v>
      </c>
      <c r="B1299" s="27"/>
      <c r="C1299" s="27"/>
      <c r="D1299" s="27"/>
      <c r="E1299" s="27"/>
      <c r="F1299" s="27"/>
      <c r="G1299" s="27"/>
      <c r="H1299" s="27"/>
      <c r="I1299" s="27"/>
      <c r="J1299" s="27"/>
    </row>
    <row r="1300" ht="15" customHeight="1">
      <c r="A1300" s="26">
        <v>1294</v>
      </c>
      <c r="B1300" s="26"/>
      <c r="C1300" s="26"/>
      <c r="D1300" s="26"/>
      <c r="E1300" s="26"/>
      <c r="F1300" s="26"/>
      <c r="G1300" s="26"/>
      <c r="H1300" s="26"/>
      <c r="I1300" s="26"/>
      <c r="J1300" s="26"/>
    </row>
    <row r="1301" ht="15" customHeight="1">
      <c r="A1301" s="27">
        <v>1295</v>
      </c>
      <c r="B1301" s="27"/>
      <c r="C1301" s="27"/>
      <c r="D1301" s="27"/>
      <c r="E1301" s="27"/>
      <c r="F1301" s="27"/>
      <c r="G1301" s="27"/>
      <c r="H1301" s="27"/>
      <c r="I1301" s="27"/>
      <c r="J1301" s="27"/>
    </row>
    <row r="1302" ht="15" customHeight="1">
      <c r="A1302" s="26">
        <v>1296</v>
      </c>
      <c r="B1302" s="26"/>
      <c r="C1302" s="26"/>
      <c r="D1302" s="26"/>
      <c r="E1302" s="26"/>
      <c r="F1302" s="26"/>
      <c r="G1302" s="26"/>
      <c r="H1302" s="26"/>
      <c r="I1302" s="26"/>
      <c r="J1302" s="26"/>
    </row>
    <row r="1303" ht="15" customHeight="1">
      <c r="A1303" s="27">
        <v>1297</v>
      </c>
      <c r="B1303" s="27"/>
      <c r="C1303" s="27"/>
      <c r="D1303" s="27"/>
      <c r="E1303" s="27"/>
      <c r="F1303" s="27"/>
      <c r="G1303" s="27"/>
      <c r="H1303" s="27"/>
      <c r="I1303" s="27"/>
      <c r="J1303" s="27"/>
    </row>
    <row r="1304" ht="15" customHeight="1">
      <c r="A1304" s="26">
        <v>1298</v>
      </c>
      <c r="B1304" s="26"/>
      <c r="C1304" s="26"/>
      <c r="D1304" s="26"/>
      <c r="E1304" s="26"/>
      <c r="F1304" s="26"/>
      <c r="G1304" s="26"/>
      <c r="H1304" s="26"/>
      <c r="I1304" s="26"/>
      <c r="J1304" s="26"/>
    </row>
    <row r="1305" ht="15" customHeight="1">
      <c r="A1305" s="27">
        <v>1299</v>
      </c>
      <c r="B1305" s="27"/>
      <c r="C1305" s="27"/>
      <c r="D1305" s="27"/>
      <c r="E1305" s="27"/>
      <c r="F1305" s="27"/>
      <c r="G1305" s="27"/>
      <c r="H1305" s="27"/>
      <c r="I1305" s="27"/>
      <c r="J1305" s="27"/>
    </row>
    <row r="1306" ht="15" customHeight="1">
      <c r="A1306" s="26">
        <v>1300</v>
      </c>
      <c r="B1306" s="26"/>
      <c r="C1306" s="26"/>
      <c r="D1306" s="26"/>
      <c r="E1306" s="26"/>
      <c r="F1306" s="26"/>
      <c r="G1306" s="26"/>
      <c r="H1306" s="26"/>
      <c r="I1306" s="26"/>
      <c r="J1306" s="26"/>
    </row>
    <row r="1307" ht="15" customHeight="1">
      <c r="A1307" s="27">
        <v>1301</v>
      </c>
      <c r="B1307" s="27"/>
      <c r="C1307" s="27"/>
      <c r="D1307" s="27"/>
      <c r="E1307" s="27"/>
      <c r="F1307" s="27"/>
      <c r="G1307" s="27"/>
      <c r="H1307" s="27"/>
      <c r="I1307" s="27"/>
      <c r="J1307" s="27"/>
    </row>
    <row r="1308" ht="15" customHeight="1">
      <c r="A1308" s="26">
        <v>1302</v>
      </c>
      <c r="B1308" s="26"/>
      <c r="C1308" s="26"/>
      <c r="D1308" s="26"/>
      <c r="E1308" s="26"/>
      <c r="F1308" s="26"/>
      <c r="G1308" s="26"/>
      <c r="H1308" s="26"/>
      <c r="I1308" s="26"/>
      <c r="J1308" s="26"/>
    </row>
    <row r="1309" ht="15" customHeight="1">
      <c r="A1309" s="27">
        <v>1303</v>
      </c>
      <c r="B1309" s="27"/>
      <c r="C1309" s="27"/>
      <c r="D1309" s="27"/>
      <c r="E1309" s="27"/>
      <c r="F1309" s="27"/>
      <c r="G1309" s="27"/>
      <c r="H1309" s="27"/>
      <c r="I1309" s="27"/>
      <c r="J1309" s="27"/>
    </row>
    <row r="1310" ht="15" customHeight="1">
      <c r="A1310" s="26">
        <v>1304</v>
      </c>
      <c r="B1310" s="26"/>
      <c r="C1310" s="26"/>
      <c r="D1310" s="26"/>
      <c r="E1310" s="26"/>
      <c r="F1310" s="26"/>
      <c r="G1310" s="26"/>
      <c r="H1310" s="26"/>
      <c r="I1310" s="26"/>
      <c r="J1310" s="26"/>
    </row>
    <row r="1311" ht="15" customHeight="1">
      <c r="A1311" s="27">
        <v>1305</v>
      </c>
      <c r="B1311" s="27"/>
      <c r="C1311" s="27"/>
      <c r="D1311" s="27"/>
      <c r="E1311" s="27"/>
      <c r="F1311" s="27"/>
      <c r="G1311" s="27"/>
      <c r="H1311" s="27"/>
      <c r="I1311" s="27"/>
      <c r="J1311" s="27"/>
    </row>
    <row r="1312" ht="15" customHeight="1">
      <c r="A1312" s="26">
        <v>1306</v>
      </c>
      <c r="B1312" s="26"/>
      <c r="C1312" s="26"/>
      <c r="D1312" s="26"/>
      <c r="E1312" s="26"/>
      <c r="F1312" s="26"/>
      <c r="G1312" s="26"/>
      <c r="H1312" s="26"/>
      <c r="I1312" s="26"/>
      <c r="J1312" s="26"/>
    </row>
    <row r="1313" ht="15" customHeight="1">
      <c r="A1313" s="27">
        <v>1307</v>
      </c>
      <c r="B1313" s="27"/>
      <c r="C1313" s="27"/>
      <c r="D1313" s="27"/>
      <c r="E1313" s="27"/>
      <c r="F1313" s="27"/>
      <c r="G1313" s="27"/>
      <c r="H1313" s="27"/>
      <c r="I1313" s="27"/>
      <c r="J1313" s="27"/>
    </row>
    <row r="1314" ht="15" customHeight="1">
      <c r="A1314" s="26">
        <v>1308</v>
      </c>
      <c r="B1314" s="26"/>
      <c r="C1314" s="26"/>
      <c r="D1314" s="26"/>
      <c r="E1314" s="26"/>
      <c r="F1314" s="26"/>
      <c r="G1314" s="26"/>
      <c r="H1314" s="26"/>
      <c r="I1314" s="26"/>
      <c r="J1314" s="26"/>
    </row>
    <row r="1315" ht="15" customHeight="1">
      <c r="A1315" s="27">
        <v>1309</v>
      </c>
      <c r="B1315" s="27"/>
      <c r="C1315" s="27"/>
      <c r="D1315" s="27"/>
      <c r="E1315" s="27"/>
      <c r="F1315" s="27"/>
      <c r="G1315" s="27"/>
      <c r="H1315" s="27"/>
      <c r="I1315" s="27"/>
      <c r="J1315" s="27"/>
    </row>
    <row r="1316" ht="15" customHeight="1">
      <c r="A1316" s="26">
        <v>1310</v>
      </c>
      <c r="B1316" s="26"/>
      <c r="C1316" s="26"/>
      <c r="D1316" s="26"/>
      <c r="E1316" s="26"/>
      <c r="F1316" s="26"/>
      <c r="G1316" s="26"/>
      <c r="H1316" s="26"/>
      <c r="I1316" s="26"/>
      <c r="J1316" s="26"/>
    </row>
    <row r="1317" ht="15" customHeight="1">
      <c r="A1317" s="27">
        <v>1311</v>
      </c>
      <c r="B1317" s="27"/>
      <c r="C1317" s="27"/>
      <c r="D1317" s="27"/>
      <c r="E1317" s="27"/>
      <c r="F1317" s="27"/>
      <c r="G1317" s="27"/>
      <c r="H1317" s="27"/>
      <c r="I1317" s="27"/>
      <c r="J1317" s="27"/>
    </row>
    <row r="1318" ht="15" customHeight="1">
      <c r="A1318" s="26">
        <v>1312</v>
      </c>
      <c r="B1318" s="26"/>
      <c r="C1318" s="26"/>
      <c r="D1318" s="26"/>
      <c r="E1318" s="26"/>
      <c r="F1318" s="26"/>
      <c r="G1318" s="26"/>
      <c r="H1318" s="26"/>
      <c r="I1318" s="26"/>
      <c r="J1318" s="26"/>
    </row>
    <row r="1319" ht="15" customHeight="1">
      <c r="A1319" s="27">
        <v>1313</v>
      </c>
      <c r="B1319" s="27"/>
      <c r="C1319" s="27"/>
      <c r="D1319" s="27"/>
      <c r="E1319" s="27"/>
      <c r="F1319" s="27"/>
      <c r="G1319" s="27"/>
      <c r="H1319" s="27"/>
      <c r="I1319" s="27"/>
      <c r="J1319" s="27"/>
    </row>
    <row r="1320" ht="15" customHeight="1">
      <c r="A1320" s="26">
        <v>1314</v>
      </c>
      <c r="B1320" s="26"/>
      <c r="C1320" s="26"/>
      <c r="D1320" s="26"/>
      <c r="E1320" s="26"/>
      <c r="F1320" s="26"/>
      <c r="G1320" s="26"/>
      <c r="H1320" s="26"/>
      <c r="I1320" s="26"/>
      <c r="J1320" s="26"/>
    </row>
    <row r="1321" ht="15" customHeight="1">
      <c r="A1321" s="27">
        <v>1315</v>
      </c>
      <c r="B1321" s="27"/>
      <c r="C1321" s="27"/>
      <c r="D1321" s="27"/>
      <c r="E1321" s="27"/>
      <c r="F1321" s="27"/>
      <c r="G1321" s="27"/>
      <c r="H1321" s="27"/>
      <c r="I1321" s="27"/>
      <c r="J1321" s="27"/>
    </row>
    <row r="1322" ht="15" customHeight="1">
      <c r="A1322" s="26">
        <v>1316</v>
      </c>
      <c r="B1322" s="26"/>
      <c r="C1322" s="26"/>
      <c r="D1322" s="26"/>
      <c r="E1322" s="26"/>
      <c r="F1322" s="26"/>
      <c r="G1322" s="26"/>
      <c r="H1322" s="26"/>
      <c r="I1322" s="26"/>
      <c r="J1322" s="26"/>
    </row>
    <row r="1323" ht="15" customHeight="1">
      <c r="A1323" s="27">
        <v>1317</v>
      </c>
      <c r="B1323" s="27"/>
      <c r="C1323" s="27"/>
      <c r="D1323" s="27"/>
      <c r="E1323" s="27"/>
      <c r="F1323" s="27"/>
      <c r="G1323" s="27"/>
      <c r="H1323" s="27"/>
      <c r="I1323" s="27"/>
      <c r="J1323" s="27"/>
    </row>
    <row r="1324" ht="15" customHeight="1">
      <c r="A1324" s="26">
        <v>1318</v>
      </c>
      <c r="B1324" s="26"/>
      <c r="C1324" s="26"/>
      <c r="D1324" s="26"/>
      <c r="E1324" s="26"/>
      <c r="F1324" s="26"/>
      <c r="G1324" s="26"/>
      <c r="H1324" s="26"/>
      <c r="I1324" s="26"/>
      <c r="J1324" s="26"/>
    </row>
    <row r="1325" ht="15" customHeight="1">
      <c r="A1325" s="27">
        <v>1319</v>
      </c>
      <c r="B1325" s="27"/>
      <c r="C1325" s="27"/>
      <c r="D1325" s="27"/>
      <c r="E1325" s="27"/>
      <c r="F1325" s="27"/>
      <c r="G1325" s="27"/>
      <c r="H1325" s="27"/>
      <c r="I1325" s="27"/>
      <c r="J1325" s="27"/>
    </row>
    <row r="1326" ht="15" customHeight="1">
      <c r="A1326" s="26">
        <v>1320</v>
      </c>
      <c r="B1326" s="26"/>
      <c r="C1326" s="26"/>
      <c r="D1326" s="26"/>
      <c r="E1326" s="26"/>
      <c r="F1326" s="26"/>
      <c r="G1326" s="26"/>
      <c r="H1326" s="26"/>
      <c r="I1326" s="26"/>
      <c r="J1326" s="26"/>
    </row>
    <row r="1327" ht="15" customHeight="1">
      <c r="A1327" s="27">
        <v>1321</v>
      </c>
      <c r="B1327" s="27"/>
      <c r="C1327" s="27"/>
      <c r="D1327" s="27"/>
      <c r="E1327" s="27"/>
      <c r="F1327" s="27"/>
      <c r="G1327" s="27"/>
      <c r="H1327" s="27"/>
      <c r="I1327" s="27"/>
      <c r="J1327" s="27"/>
    </row>
    <row r="1328" ht="15" customHeight="1">
      <c r="A1328" s="26">
        <v>1322</v>
      </c>
      <c r="B1328" s="26"/>
      <c r="C1328" s="26"/>
      <c r="D1328" s="26"/>
      <c r="E1328" s="26"/>
      <c r="F1328" s="26"/>
      <c r="G1328" s="26"/>
      <c r="H1328" s="26"/>
      <c r="I1328" s="26"/>
      <c r="J1328" s="26"/>
    </row>
    <row r="1329" ht="15" customHeight="1">
      <c r="A1329" s="27">
        <v>1323</v>
      </c>
      <c r="B1329" s="27"/>
      <c r="C1329" s="27"/>
      <c r="D1329" s="27"/>
      <c r="E1329" s="27"/>
      <c r="F1329" s="27"/>
      <c r="G1329" s="27"/>
      <c r="H1329" s="27"/>
      <c r="I1329" s="27"/>
      <c r="J1329" s="27"/>
    </row>
    <row r="1330" ht="15" customHeight="1">
      <c r="A1330" s="26">
        <v>1324</v>
      </c>
      <c r="B1330" s="26"/>
      <c r="C1330" s="26"/>
      <c r="D1330" s="26"/>
      <c r="E1330" s="26"/>
      <c r="F1330" s="26"/>
      <c r="G1330" s="26"/>
      <c r="H1330" s="26"/>
      <c r="I1330" s="26"/>
      <c r="J1330" s="26"/>
    </row>
    <row r="1331" ht="15" customHeight="1">
      <c r="A1331" s="27">
        <v>1325</v>
      </c>
      <c r="B1331" s="27"/>
      <c r="C1331" s="27"/>
      <c r="D1331" s="27"/>
      <c r="E1331" s="27"/>
      <c r="F1331" s="27"/>
      <c r="G1331" s="27"/>
      <c r="H1331" s="27"/>
      <c r="I1331" s="27"/>
      <c r="J1331" s="27"/>
    </row>
    <row r="1332" ht="15" customHeight="1">
      <c r="A1332" s="26">
        <v>1326</v>
      </c>
      <c r="B1332" s="26"/>
      <c r="C1332" s="26"/>
      <c r="D1332" s="26"/>
      <c r="E1332" s="26"/>
      <c r="F1332" s="26"/>
      <c r="G1332" s="26"/>
      <c r="H1332" s="26"/>
      <c r="I1332" s="26"/>
      <c r="J1332" s="26"/>
    </row>
    <row r="1333" ht="15" customHeight="1">
      <c r="A1333" s="27">
        <v>1327</v>
      </c>
      <c r="B1333" s="27"/>
      <c r="C1333" s="27"/>
      <c r="D1333" s="27"/>
      <c r="E1333" s="27"/>
      <c r="F1333" s="27"/>
      <c r="G1333" s="27"/>
      <c r="H1333" s="27"/>
      <c r="I1333" s="27"/>
      <c r="J1333" s="27"/>
    </row>
    <row r="1334" ht="15" customHeight="1">
      <c r="A1334" s="26">
        <v>1328</v>
      </c>
      <c r="B1334" s="26"/>
      <c r="C1334" s="26"/>
      <c r="D1334" s="26"/>
      <c r="E1334" s="26"/>
      <c r="F1334" s="26"/>
      <c r="G1334" s="26"/>
      <c r="H1334" s="26"/>
      <c r="I1334" s="26"/>
      <c r="J1334" s="26"/>
    </row>
    <row r="1335" ht="15" customHeight="1">
      <c r="A1335" s="27">
        <v>1329</v>
      </c>
      <c r="B1335" s="27"/>
      <c r="C1335" s="27"/>
      <c r="D1335" s="27"/>
      <c r="E1335" s="27"/>
      <c r="F1335" s="27"/>
      <c r="G1335" s="27"/>
      <c r="H1335" s="27"/>
      <c r="I1335" s="27"/>
      <c r="J1335" s="27"/>
    </row>
    <row r="1336" ht="15" customHeight="1">
      <c r="A1336" s="26">
        <v>1330</v>
      </c>
      <c r="B1336" s="26"/>
      <c r="C1336" s="26"/>
      <c r="D1336" s="26"/>
      <c r="E1336" s="26"/>
      <c r="F1336" s="26"/>
      <c r="G1336" s="26"/>
      <c r="H1336" s="26"/>
      <c r="I1336" s="26"/>
      <c r="J1336" s="26"/>
    </row>
    <row r="1337" ht="15" customHeight="1">
      <c r="A1337" s="27">
        <v>1331</v>
      </c>
      <c r="B1337" s="27"/>
      <c r="C1337" s="27"/>
      <c r="D1337" s="27"/>
      <c r="E1337" s="27"/>
      <c r="F1337" s="27"/>
      <c r="G1337" s="27"/>
      <c r="H1337" s="27"/>
      <c r="I1337" s="27"/>
      <c r="J1337" s="27"/>
    </row>
    <row r="1338" ht="15" customHeight="1">
      <c r="A1338" s="26">
        <v>1332</v>
      </c>
      <c r="B1338" s="26"/>
      <c r="C1338" s="26"/>
      <c r="D1338" s="26"/>
      <c r="E1338" s="26"/>
      <c r="F1338" s="26"/>
      <c r="G1338" s="26"/>
      <c r="H1338" s="26"/>
      <c r="I1338" s="26"/>
      <c r="J1338" s="26"/>
    </row>
    <row r="1339" ht="15" customHeight="1">
      <c r="A1339" s="27">
        <v>1333</v>
      </c>
      <c r="B1339" s="27"/>
      <c r="C1339" s="27"/>
      <c r="D1339" s="27"/>
      <c r="E1339" s="27"/>
      <c r="F1339" s="27"/>
      <c r="G1339" s="27"/>
      <c r="H1339" s="27"/>
      <c r="I1339" s="27"/>
      <c r="J1339" s="27"/>
    </row>
    <row r="1340" ht="15" customHeight="1">
      <c r="A1340" s="26">
        <v>1334</v>
      </c>
      <c r="B1340" s="26"/>
      <c r="C1340" s="26"/>
      <c r="D1340" s="26"/>
      <c r="E1340" s="26"/>
      <c r="F1340" s="26"/>
      <c r="G1340" s="26"/>
      <c r="H1340" s="26"/>
      <c r="I1340" s="26"/>
      <c r="J1340" s="26"/>
    </row>
    <row r="1341" ht="15" customHeight="1">
      <c r="A1341" s="27">
        <v>1335</v>
      </c>
      <c r="B1341" s="27"/>
      <c r="C1341" s="27"/>
      <c r="D1341" s="27"/>
      <c r="E1341" s="27"/>
      <c r="F1341" s="27"/>
      <c r="G1341" s="27"/>
      <c r="H1341" s="27"/>
      <c r="I1341" s="27"/>
      <c r="J1341" s="27"/>
    </row>
    <row r="1342" ht="15" customHeight="1">
      <c r="A1342" s="26">
        <v>1336</v>
      </c>
      <c r="B1342" s="26"/>
      <c r="C1342" s="26"/>
      <c r="D1342" s="26"/>
      <c r="E1342" s="26"/>
      <c r="F1342" s="26"/>
      <c r="G1342" s="26"/>
      <c r="H1342" s="26"/>
      <c r="I1342" s="26"/>
      <c r="J1342" s="26"/>
    </row>
    <row r="1343" ht="15" customHeight="1">
      <c r="A1343" s="27">
        <v>1337</v>
      </c>
      <c r="B1343" s="27"/>
      <c r="C1343" s="27"/>
      <c r="D1343" s="27"/>
      <c r="E1343" s="27"/>
      <c r="F1343" s="27"/>
      <c r="G1343" s="27"/>
      <c r="H1343" s="27"/>
      <c r="I1343" s="27"/>
      <c r="J1343" s="27"/>
    </row>
    <row r="1344" ht="15" customHeight="1">
      <c r="A1344" s="26">
        <v>1338</v>
      </c>
      <c r="B1344" s="26"/>
      <c r="C1344" s="26"/>
      <c r="D1344" s="26"/>
      <c r="E1344" s="26"/>
      <c r="F1344" s="26"/>
      <c r="G1344" s="26"/>
      <c r="H1344" s="26"/>
      <c r="I1344" s="26"/>
      <c r="J1344" s="26"/>
    </row>
    <row r="1345" ht="15" customHeight="1">
      <c r="A1345" s="27">
        <v>1339</v>
      </c>
      <c r="B1345" s="27"/>
      <c r="C1345" s="27"/>
      <c r="D1345" s="27"/>
      <c r="E1345" s="27"/>
      <c r="F1345" s="27"/>
      <c r="G1345" s="27"/>
      <c r="H1345" s="27"/>
      <c r="I1345" s="27"/>
      <c r="J1345" s="27"/>
    </row>
    <row r="1346" ht="15" customHeight="1">
      <c r="A1346" s="26">
        <v>1340</v>
      </c>
      <c r="B1346" s="26"/>
      <c r="C1346" s="26"/>
      <c r="D1346" s="26"/>
      <c r="E1346" s="26"/>
      <c r="F1346" s="26"/>
      <c r="G1346" s="26"/>
      <c r="H1346" s="26"/>
      <c r="I1346" s="26"/>
      <c r="J1346" s="26"/>
    </row>
    <row r="1347" ht="15" customHeight="1">
      <c r="A1347" s="27">
        <v>1341</v>
      </c>
      <c r="B1347" s="27"/>
      <c r="C1347" s="27"/>
      <c r="D1347" s="27"/>
      <c r="E1347" s="27"/>
      <c r="F1347" s="27"/>
      <c r="G1347" s="27"/>
      <c r="H1347" s="27"/>
      <c r="I1347" s="27"/>
      <c r="J1347" s="27"/>
    </row>
    <row r="1348" ht="15" customHeight="1">
      <c r="A1348" s="26">
        <v>1342</v>
      </c>
      <c r="B1348" s="26"/>
      <c r="C1348" s="26"/>
      <c r="D1348" s="26"/>
      <c r="E1348" s="26"/>
      <c r="F1348" s="26"/>
      <c r="G1348" s="26"/>
      <c r="H1348" s="26"/>
      <c r="I1348" s="26"/>
      <c r="J1348" s="26"/>
    </row>
    <row r="1349" ht="15" customHeight="1">
      <c r="A1349" s="27">
        <v>1343</v>
      </c>
      <c r="B1349" s="27"/>
      <c r="C1349" s="27"/>
      <c r="D1349" s="27"/>
      <c r="E1349" s="27"/>
      <c r="F1349" s="27"/>
      <c r="G1349" s="27"/>
      <c r="H1349" s="27"/>
      <c r="I1349" s="27"/>
      <c r="J1349" s="27"/>
    </row>
    <row r="1350" ht="15" customHeight="1">
      <c r="A1350" s="26">
        <v>1344</v>
      </c>
      <c r="B1350" s="26"/>
      <c r="C1350" s="26"/>
      <c r="D1350" s="26"/>
      <c r="E1350" s="26"/>
      <c r="F1350" s="26"/>
      <c r="G1350" s="26"/>
      <c r="H1350" s="26"/>
      <c r="I1350" s="26"/>
      <c r="J1350" s="26"/>
    </row>
    <row r="1351" ht="15" customHeight="1">
      <c r="A1351" s="27">
        <v>1345</v>
      </c>
      <c r="B1351" s="27"/>
      <c r="C1351" s="27"/>
      <c r="D1351" s="27"/>
      <c r="E1351" s="27"/>
      <c r="F1351" s="27"/>
      <c r="G1351" s="27"/>
      <c r="H1351" s="27"/>
      <c r="I1351" s="27"/>
      <c r="J1351" s="27"/>
    </row>
    <row r="1352" ht="15" customHeight="1">
      <c r="A1352" s="26">
        <v>1346</v>
      </c>
      <c r="B1352" s="26"/>
      <c r="C1352" s="26"/>
      <c r="D1352" s="26"/>
      <c r="E1352" s="26"/>
      <c r="F1352" s="26"/>
      <c r="G1352" s="26"/>
      <c r="H1352" s="26"/>
      <c r="I1352" s="26"/>
      <c r="J1352" s="26"/>
    </row>
    <row r="1353" ht="15" customHeight="1">
      <c r="A1353" s="27">
        <v>1347</v>
      </c>
      <c r="B1353" s="27"/>
      <c r="C1353" s="27"/>
      <c r="D1353" s="27"/>
      <c r="E1353" s="27"/>
      <c r="F1353" s="27"/>
      <c r="G1353" s="27"/>
      <c r="H1353" s="27"/>
      <c r="I1353" s="27"/>
      <c r="J1353" s="27"/>
    </row>
    <row r="1354" ht="15" customHeight="1">
      <c r="A1354" s="26">
        <v>1348</v>
      </c>
      <c r="B1354" s="26"/>
      <c r="C1354" s="26"/>
      <c r="D1354" s="26"/>
      <c r="E1354" s="26"/>
      <c r="F1354" s="26"/>
      <c r="G1354" s="26"/>
      <c r="H1354" s="26"/>
      <c r="I1354" s="26"/>
      <c r="J1354" s="26"/>
    </row>
    <row r="1355" ht="15" customHeight="1">
      <c r="A1355" s="27">
        <v>1349</v>
      </c>
      <c r="B1355" s="27"/>
      <c r="C1355" s="27"/>
      <c r="D1355" s="27"/>
      <c r="E1355" s="27"/>
      <c r="F1355" s="27"/>
      <c r="G1355" s="27"/>
      <c r="H1355" s="27"/>
      <c r="I1355" s="27"/>
      <c r="J1355" s="27"/>
    </row>
    <row r="1356" ht="15" customHeight="1">
      <c r="A1356" s="26">
        <v>1350</v>
      </c>
      <c r="B1356" s="26"/>
      <c r="C1356" s="26"/>
      <c r="D1356" s="26"/>
      <c r="E1356" s="26"/>
      <c r="F1356" s="26"/>
      <c r="G1356" s="26"/>
      <c r="H1356" s="26"/>
      <c r="I1356" s="26"/>
      <c r="J1356" s="26"/>
    </row>
    <row r="1357" ht="15" customHeight="1">
      <c r="A1357" s="27">
        <v>1351</v>
      </c>
      <c r="B1357" s="27"/>
      <c r="C1357" s="27"/>
      <c r="D1357" s="27"/>
      <c r="E1357" s="27"/>
      <c r="F1357" s="27"/>
      <c r="G1357" s="27"/>
      <c r="H1357" s="27"/>
      <c r="I1357" s="27"/>
      <c r="J1357" s="27"/>
    </row>
    <row r="1358" ht="15" customHeight="1">
      <c r="A1358" s="26">
        <v>1352</v>
      </c>
      <c r="B1358" s="26"/>
      <c r="C1358" s="26"/>
      <c r="D1358" s="26"/>
      <c r="E1358" s="26"/>
      <c r="F1358" s="26"/>
      <c r="G1358" s="26"/>
      <c r="H1358" s="26"/>
      <c r="I1358" s="26"/>
      <c r="J1358" s="26"/>
    </row>
    <row r="1359" ht="15" customHeight="1">
      <c r="A1359" s="27">
        <v>1353</v>
      </c>
      <c r="B1359" s="27"/>
      <c r="C1359" s="27"/>
      <c r="D1359" s="27"/>
      <c r="E1359" s="27"/>
      <c r="F1359" s="27"/>
      <c r="G1359" s="27"/>
      <c r="H1359" s="27"/>
      <c r="I1359" s="27"/>
      <c r="J1359" s="27"/>
    </row>
    <row r="1360" ht="15" customHeight="1">
      <c r="A1360" s="26">
        <v>1354</v>
      </c>
      <c r="B1360" s="26"/>
      <c r="C1360" s="26"/>
      <c r="D1360" s="26"/>
      <c r="E1360" s="26"/>
      <c r="F1360" s="26"/>
      <c r="G1360" s="26"/>
      <c r="H1360" s="26"/>
      <c r="I1360" s="26"/>
      <c r="J1360" s="26"/>
    </row>
    <row r="1361" ht="15" customHeight="1">
      <c r="A1361" s="27">
        <v>1355</v>
      </c>
      <c r="B1361" s="27"/>
      <c r="C1361" s="27"/>
      <c r="D1361" s="27"/>
      <c r="E1361" s="27"/>
      <c r="F1361" s="27"/>
      <c r="G1361" s="27"/>
      <c r="H1361" s="27"/>
      <c r="I1361" s="27"/>
      <c r="J1361" s="27"/>
    </row>
    <row r="1362" ht="15" customHeight="1">
      <c r="A1362" s="26">
        <v>1356</v>
      </c>
      <c r="B1362" s="26"/>
      <c r="C1362" s="26"/>
      <c r="D1362" s="26"/>
      <c r="E1362" s="26"/>
      <c r="F1362" s="26"/>
      <c r="G1362" s="26"/>
      <c r="H1362" s="26"/>
      <c r="I1362" s="26"/>
      <c r="J1362" s="26"/>
    </row>
    <row r="1363" ht="15" customHeight="1">
      <c r="A1363" s="27">
        <v>1357</v>
      </c>
      <c r="B1363" s="27"/>
      <c r="C1363" s="27"/>
      <c r="D1363" s="27"/>
      <c r="E1363" s="27"/>
      <c r="F1363" s="27"/>
      <c r="G1363" s="27"/>
      <c r="H1363" s="27"/>
      <c r="I1363" s="27"/>
      <c r="J1363" s="27"/>
    </row>
    <row r="1364" ht="15" customHeight="1">
      <c r="A1364" s="26">
        <v>1358</v>
      </c>
      <c r="B1364" s="26"/>
      <c r="C1364" s="26"/>
      <c r="D1364" s="26"/>
      <c r="E1364" s="26"/>
      <c r="F1364" s="26"/>
      <c r="G1364" s="26"/>
      <c r="H1364" s="26"/>
      <c r="I1364" s="26"/>
      <c r="J1364" s="26"/>
    </row>
    <row r="1365" ht="15" customHeight="1">
      <c r="A1365" s="27">
        <v>1359</v>
      </c>
      <c r="B1365" s="27"/>
      <c r="C1365" s="27"/>
      <c r="D1365" s="27"/>
      <c r="E1365" s="27"/>
      <c r="F1365" s="27"/>
      <c r="G1365" s="27"/>
      <c r="H1365" s="27"/>
      <c r="I1365" s="27"/>
      <c r="J1365" s="27"/>
    </row>
    <row r="1366" ht="15" customHeight="1">
      <c r="A1366" s="26">
        <v>1360</v>
      </c>
      <c r="B1366" s="26"/>
      <c r="C1366" s="26"/>
      <c r="D1366" s="26"/>
      <c r="E1366" s="26"/>
      <c r="F1366" s="26"/>
      <c r="G1366" s="26"/>
      <c r="H1366" s="26"/>
      <c r="I1366" s="26"/>
      <c r="J1366" s="26"/>
    </row>
    <row r="1367" ht="15" customHeight="1">
      <c r="A1367" s="27">
        <v>1361</v>
      </c>
      <c r="B1367" s="27"/>
      <c r="C1367" s="27"/>
      <c r="D1367" s="27"/>
      <c r="E1367" s="27"/>
      <c r="F1367" s="27"/>
      <c r="G1367" s="27"/>
      <c r="H1367" s="27"/>
      <c r="I1367" s="27"/>
      <c r="J1367" s="27"/>
    </row>
    <row r="1368" ht="15" customHeight="1">
      <c r="A1368" s="26">
        <v>1362</v>
      </c>
      <c r="B1368" s="26"/>
      <c r="C1368" s="26"/>
      <c r="D1368" s="26"/>
      <c r="E1368" s="26"/>
      <c r="F1368" s="26"/>
      <c r="G1368" s="26"/>
      <c r="H1368" s="26"/>
      <c r="I1368" s="26"/>
      <c r="J1368" s="26"/>
    </row>
    <row r="1369" ht="15" customHeight="1">
      <c r="A1369" s="27">
        <v>1363</v>
      </c>
      <c r="B1369" s="27"/>
      <c r="C1369" s="27"/>
      <c r="D1369" s="27"/>
      <c r="E1369" s="27"/>
      <c r="F1369" s="27"/>
      <c r="G1369" s="27"/>
      <c r="H1369" s="27"/>
      <c r="I1369" s="27"/>
      <c r="J1369" s="27"/>
    </row>
    <row r="1370" ht="15" customHeight="1">
      <c r="A1370" s="26">
        <v>1364</v>
      </c>
      <c r="B1370" s="26"/>
      <c r="C1370" s="26"/>
      <c r="D1370" s="26"/>
      <c r="E1370" s="26"/>
      <c r="F1370" s="26"/>
      <c r="G1370" s="26"/>
      <c r="H1370" s="26"/>
      <c r="I1370" s="26"/>
      <c r="J1370" s="26"/>
    </row>
    <row r="1371" ht="15" customHeight="1">
      <c r="A1371" s="27">
        <v>1365</v>
      </c>
      <c r="B1371" s="27"/>
      <c r="C1371" s="27"/>
      <c r="D1371" s="27"/>
      <c r="E1371" s="27"/>
      <c r="F1371" s="27"/>
      <c r="G1371" s="27"/>
      <c r="H1371" s="27"/>
      <c r="I1371" s="27"/>
      <c r="J1371" s="27"/>
    </row>
    <row r="1372" ht="15" customHeight="1">
      <c r="A1372" s="26">
        <v>1366</v>
      </c>
      <c r="B1372" s="26"/>
      <c r="C1372" s="26"/>
      <c r="D1372" s="26"/>
      <c r="E1372" s="26"/>
      <c r="F1372" s="26"/>
      <c r="G1372" s="26"/>
      <c r="H1372" s="26"/>
      <c r="I1372" s="26"/>
      <c r="J1372" s="26"/>
    </row>
    <row r="1373" ht="15" customHeight="1">
      <c r="A1373" s="27">
        <v>1367</v>
      </c>
      <c r="B1373" s="27"/>
      <c r="C1373" s="27"/>
      <c r="D1373" s="27"/>
      <c r="E1373" s="27"/>
      <c r="F1373" s="27"/>
      <c r="G1373" s="27"/>
      <c r="H1373" s="27"/>
      <c r="I1373" s="27"/>
      <c r="J1373" s="27"/>
    </row>
    <row r="1374" ht="15" customHeight="1">
      <c r="A1374" s="26">
        <v>1368</v>
      </c>
      <c r="B1374" s="26"/>
      <c r="C1374" s="26"/>
      <c r="D1374" s="26"/>
      <c r="E1374" s="26"/>
      <c r="F1374" s="26"/>
      <c r="G1374" s="26"/>
      <c r="H1374" s="26"/>
      <c r="I1374" s="26"/>
      <c r="J1374" s="26"/>
    </row>
    <row r="1375" ht="15" customHeight="1">
      <c r="A1375" s="27">
        <v>1369</v>
      </c>
      <c r="B1375" s="27"/>
      <c r="C1375" s="27"/>
      <c r="D1375" s="27"/>
      <c r="E1375" s="27"/>
      <c r="F1375" s="27"/>
      <c r="G1375" s="27"/>
      <c r="H1375" s="27"/>
      <c r="I1375" s="27"/>
      <c r="J1375" s="27"/>
    </row>
    <row r="1376" ht="15" customHeight="1">
      <c r="A1376" s="26">
        <v>1370</v>
      </c>
      <c r="B1376" s="26"/>
      <c r="C1376" s="26"/>
      <c r="D1376" s="26"/>
      <c r="E1376" s="26"/>
      <c r="F1376" s="26"/>
      <c r="G1376" s="26"/>
      <c r="H1376" s="26"/>
      <c r="I1376" s="26"/>
      <c r="J1376" s="26"/>
    </row>
    <row r="1377" ht="15" customHeight="1">
      <c r="A1377" s="27">
        <v>1371</v>
      </c>
      <c r="B1377" s="27"/>
      <c r="C1377" s="27"/>
      <c r="D1377" s="27"/>
      <c r="E1377" s="27"/>
      <c r="F1377" s="27"/>
      <c r="G1377" s="27"/>
      <c r="H1377" s="27"/>
      <c r="I1377" s="27"/>
      <c r="J1377" s="27"/>
    </row>
    <row r="1378" ht="15" customHeight="1">
      <c r="A1378" s="26">
        <v>1372</v>
      </c>
      <c r="B1378" s="26"/>
      <c r="C1378" s="26"/>
      <c r="D1378" s="26"/>
      <c r="E1378" s="26"/>
      <c r="F1378" s="26"/>
      <c r="G1378" s="26"/>
      <c r="H1378" s="26"/>
      <c r="I1378" s="26"/>
      <c r="J1378" s="26"/>
    </row>
    <row r="1379" ht="15" customHeight="1">
      <c r="A1379" s="27">
        <v>1373</v>
      </c>
      <c r="B1379" s="27"/>
      <c r="C1379" s="27"/>
      <c r="D1379" s="27"/>
      <c r="E1379" s="27"/>
      <c r="F1379" s="27"/>
      <c r="G1379" s="27"/>
      <c r="H1379" s="27"/>
      <c r="I1379" s="27"/>
      <c r="J1379" s="27"/>
    </row>
    <row r="1380" ht="15" customHeight="1">
      <c r="A1380" s="26">
        <v>1374</v>
      </c>
      <c r="B1380" s="26"/>
      <c r="C1380" s="26"/>
      <c r="D1380" s="26"/>
      <c r="E1380" s="26"/>
      <c r="F1380" s="26"/>
      <c r="G1380" s="26"/>
      <c r="H1380" s="26"/>
      <c r="I1380" s="26"/>
      <c r="J1380" s="26"/>
    </row>
    <row r="1381" ht="15" customHeight="1">
      <c r="A1381" s="27">
        <v>1375</v>
      </c>
      <c r="B1381" s="27"/>
      <c r="C1381" s="27"/>
      <c r="D1381" s="27"/>
      <c r="E1381" s="27"/>
      <c r="F1381" s="27"/>
      <c r="G1381" s="27"/>
      <c r="H1381" s="27"/>
      <c r="I1381" s="27"/>
      <c r="J1381" s="27"/>
    </row>
    <row r="1382" ht="15" customHeight="1">
      <c r="A1382" s="26">
        <v>1376</v>
      </c>
      <c r="B1382" s="26"/>
      <c r="C1382" s="26"/>
      <c r="D1382" s="26"/>
      <c r="E1382" s="26"/>
      <c r="F1382" s="26"/>
      <c r="G1382" s="26"/>
      <c r="H1382" s="26"/>
      <c r="I1382" s="26"/>
      <c r="J1382" s="26"/>
    </row>
    <row r="1383" ht="15" customHeight="1">
      <c r="A1383" s="27">
        <v>1377</v>
      </c>
      <c r="B1383" s="27"/>
      <c r="C1383" s="27"/>
      <c r="D1383" s="27"/>
      <c r="E1383" s="27"/>
      <c r="F1383" s="27"/>
      <c r="G1383" s="27"/>
      <c r="H1383" s="27"/>
      <c r="I1383" s="27"/>
      <c r="J1383" s="27"/>
    </row>
    <row r="1384" ht="15" customHeight="1">
      <c r="A1384" s="26">
        <v>1378</v>
      </c>
      <c r="B1384" s="26"/>
      <c r="C1384" s="26"/>
      <c r="D1384" s="26"/>
      <c r="E1384" s="26"/>
      <c r="F1384" s="26"/>
      <c r="G1384" s="26"/>
      <c r="H1384" s="26"/>
      <c r="I1384" s="26"/>
      <c r="J1384" s="26"/>
    </row>
    <row r="1385" ht="15" customHeight="1">
      <c r="A1385" s="27">
        <v>1379</v>
      </c>
      <c r="B1385" s="27"/>
      <c r="C1385" s="27"/>
      <c r="D1385" s="27"/>
      <c r="E1385" s="27"/>
      <c r="F1385" s="27"/>
      <c r="G1385" s="27"/>
      <c r="H1385" s="27"/>
      <c r="I1385" s="27"/>
      <c r="J1385" s="27"/>
    </row>
    <row r="1386" ht="15" customHeight="1">
      <c r="A1386" s="26">
        <v>1380</v>
      </c>
      <c r="B1386" s="26"/>
      <c r="C1386" s="26"/>
      <c r="D1386" s="26"/>
      <c r="E1386" s="26"/>
      <c r="F1386" s="26"/>
      <c r="G1386" s="26"/>
      <c r="H1386" s="26"/>
      <c r="I1386" s="26"/>
      <c r="J1386" s="26"/>
    </row>
    <row r="1387" ht="15" customHeight="1">
      <c r="A1387" s="27">
        <v>1381</v>
      </c>
      <c r="B1387" s="27"/>
      <c r="C1387" s="27"/>
      <c r="D1387" s="27"/>
      <c r="E1387" s="27"/>
      <c r="F1387" s="27"/>
      <c r="G1387" s="27"/>
      <c r="H1387" s="27"/>
      <c r="I1387" s="27"/>
      <c r="J1387" s="27"/>
    </row>
    <row r="1388" ht="15" customHeight="1">
      <c r="A1388" s="26">
        <v>1382</v>
      </c>
      <c r="B1388" s="26"/>
      <c r="C1388" s="26"/>
      <c r="D1388" s="26"/>
      <c r="E1388" s="26"/>
      <c r="F1388" s="26"/>
      <c r="G1388" s="26"/>
      <c r="H1388" s="26"/>
      <c r="I1388" s="26"/>
      <c r="J1388" s="26"/>
    </row>
    <row r="1389" ht="15" customHeight="1">
      <c r="A1389" s="27">
        <v>1383</v>
      </c>
      <c r="B1389" s="27"/>
      <c r="C1389" s="27"/>
      <c r="D1389" s="27"/>
      <c r="E1389" s="27"/>
      <c r="F1389" s="27"/>
      <c r="G1389" s="27"/>
      <c r="H1389" s="27"/>
      <c r="I1389" s="27"/>
      <c r="J1389" s="27"/>
    </row>
    <row r="1390" ht="15" customHeight="1">
      <c r="A1390" s="26">
        <v>1384</v>
      </c>
      <c r="B1390" s="26"/>
      <c r="C1390" s="26"/>
      <c r="D1390" s="26"/>
      <c r="E1390" s="26"/>
      <c r="F1390" s="26"/>
      <c r="G1390" s="26"/>
      <c r="H1390" s="26"/>
      <c r="I1390" s="26"/>
      <c r="J1390" s="26"/>
    </row>
    <row r="1391" ht="15" customHeight="1">
      <c r="A1391" s="27">
        <v>1385</v>
      </c>
      <c r="B1391" s="27"/>
      <c r="C1391" s="27"/>
      <c r="D1391" s="27"/>
      <c r="E1391" s="27"/>
      <c r="F1391" s="27"/>
      <c r="G1391" s="27"/>
      <c r="H1391" s="27"/>
      <c r="I1391" s="27"/>
      <c r="J1391" s="27"/>
    </row>
    <row r="1392" ht="15" customHeight="1">
      <c r="A1392" s="26">
        <v>1386</v>
      </c>
      <c r="B1392" s="26"/>
      <c r="C1392" s="26"/>
      <c r="D1392" s="26"/>
      <c r="E1392" s="26"/>
      <c r="F1392" s="26"/>
      <c r="G1392" s="26"/>
      <c r="H1392" s="26"/>
      <c r="I1392" s="26"/>
      <c r="J1392" s="26"/>
    </row>
    <row r="1393" ht="15" customHeight="1">
      <c r="A1393" s="27">
        <v>1387</v>
      </c>
      <c r="B1393" s="27"/>
      <c r="C1393" s="27"/>
      <c r="D1393" s="27"/>
      <c r="E1393" s="27"/>
      <c r="F1393" s="27"/>
      <c r="G1393" s="27"/>
      <c r="H1393" s="27"/>
      <c r="I1393" s="27"/>
      <c r="J1393" s="27"/>
    </row>
    <row r="1394" ht="15" customHeight="1">
      <c r="A1394" s="26">
        <v>1388</v>
      </c>
      <c r="B1394" s="26"/>
      <c r="C1394" s="26"/>
      <c r="D1394" s="26"/>
      <c r="E1394" s="26"/>
      <c r="F1394" s="26"/>
      <c r="G1394" s="26"/>
      <c r="H1394" s="26"/>
      <c r="I1394" s="26"/>
      <c r="J1394" s="26"/>
    </row>
    <row r="1395" ht="15" customHeight="1">
      <c r="A1395" s="27">
        <v>1389</v>
      </c>
      <c r="B1395" s="27"/>
      <c r="C1395" s="27"/>
      <c r="D1395" s="27"/>
      <c r="E1395" s="27"/>
      <c r="F1395" s="27"/>
      <c r="G1395" s="27"/>
      <c r="H1395" s="27"/>
      <c r="I1395" s="27"/>
      <c r="J1395" s="27"/>
    </row>
    <row r="1396" ht="15" customHeight="1">
      <c r="A1396" s="26">
        <v>1390</v>
      </c>
      <c r="B1396" s="26"/>
      <c r="C1396" s="26"/>
      <c r="D1396" s="26"/>
      <c r="E1396" s="26"/>
      <c r="F1396" s="26"/>
      <c r="G1396" s="26"/>
      <c r="H1396" s="26"/>
      <c r="I1396" s="26"/>
      <c r="J1396" s="26"/>
    </row>
    <row r="1397" ht="15" customHeight="1">
      <c r="A1397" s="27">
        <v>1391</v>
      </c>
      <c r="B1397" s="27"/>
      <c r="C1397" s="27"/>
      <c r="D1397" s="27"/>
      <c r="E1397" s="27"/>
      <c r="F1397" s="27"/>
      <c r="G1397" s="27"/>
      <c r="H1397" s="27"/>
      <c r="I1397" s="27"/>
      <c r="J1397" s="27"/>
    </row>
    <row r="1398" ht="15" customHeight="1">
      <c r="A1398" s="26">
        <v>1392</v>
      </c>
      <c r="B1398" s="26"/>
      <c r="C1398" s="26"/>
      <c r="D1398" s="26"/>
      <c r="E1398" s="26"/>
      <c r="F1398" s="26"/>
      <c r="G1398" s="26"/>
      <c r="H1398" s="26"/>
      <c r="I1398" s="26"/>
      <c r="J1398" s="26"/>
    </row>
    <row r="1399" ht="15" customHeight="1">
      <c r="A1399" s="27">
        <v>1393</v>
      </c>
      <c r="B1399" s="27"/>
      <c r="C1399" s="27"/>
      <c r="D1399" s="27"/>
      <c r="E1399" s="27"/>
      <c r="F1399" s="27"/>
      <c r="G1399" s="27"/>
      <c r="H1399" s="27"/>
      <c r="I1399" s="27"/>
      <c r="J1399" s="27"/>
    </row>
    <row r="1400" ht="15" customHeight="1">
      <c r="A1400" s="26">
        <v>1394</v>
      </c>
      <c r="B1400" s="26"/>
      <c r="C1400" s="26"/>
      <c r="D1400" s="26"/>
      <c r="E1400" s="26"/>
      <c r="F1400" s="26"/>
      <c r="G1400" s="26"/>
      <c r="H1400" s="26"/>
      <c r="I1400" s="26"/>
      <c r="J1400" s="26"/>
    </row>
    <row r="1401" ht="15" customHeight="1">
      <c r="A1401" s="27">
        <v>1395</v>
      </c>
      <c r="B1401" s="27"/>
      <c r="C1401" s="27"/>
      <c r="D1401" s="27"/>
      <c r="E1401" s="27"/>
      <c r="F1401" s="27"/>
      <c r="G1401" s="27"/>
      <c r="H1401" s="27"/>
      <c r="I1401" s="27"/>
      <c r="J1401" s="27"/>
    </row>
    <row r="1402" ht="15" customHeight="1">
      <c r="A1402" s="26">
        <v>1396</v>
      </c>
      <c r="B1402" s="26"/>
      <c r="C1402" s="26"/>
      <c r="D1402" s="26"/>
      <c r="E1402" s="26"/>
      <c r="F1402" s="26"/>
      <c r="G1402" s="26"/>
      <c r="H1402" s="26"/>
      <c r="I1402" s="26"/>
      <c r="J1402" s="26"/>
    </row>
    <row r="1403" ht="15" customHeight="1">
      <c r="A1403" s="27">
        <v>1397</v>
      </c>
      <c r="B1403" s="27"/>
      <c r="C1403" s="27"/>
      <c r="D1403" s="27"/>
      <c r="E1403" s="27"/>
      <c r="F1403" s="27"/>
      <c r="G1403" s="27"/>
      <c r="H1403" s="27"/>
      <c r="I1403" s="27"/>
      <c r="J1403" s="27"/>
    </row>
    <row r="1404" ht="15" customHeight="1">
      <c r="A1404" s="26">
        <v>1398</v>
      </c>
      <c r="B1404" s="26"/>
      <c r="C1404" s="26"/>
      <c r="D1404" s="26"/>
      <c r="E1404" s="26"/>
      <c r="F1404" s="26"/>
      <c r="G1404" s="26"/>
      <c r="H1404" s="26"/>
      <c r="I1404" s="26"/>
      <c r="J1404" s="26"/>
    </row>
    <row r="1405" ht="15" customHeight="1">
      <c r="A1405" s="27">
        <v>1399</v>
      </c>
      <c r="B1405" s="27"/>
      <c r="C1405" s="27"/>
      <c r="D1405" s="27"/>
      <c r="E1405" s="27"/>
      <c r="F1405" s="27"/>
      <c r="G1405" s="27"/>
      <c r="H1405" s="27"/>
      <c r="I1405" s="27"/>
      <c r="J1405" s="27"/>
    </row>
    <row r="1406" ht="15" customHeight="1">
      <c r="A1406" s="26">
        <v>1400</v>
      </c>
      <c r="B1406" s="26"/>
      <c r="C1406" s="26"/>
      <c r="D1406" s="26"/>
      <c r="E1406" s="26"/>
      <c r="F1406" s="26"/>
      <c r="G1406" s="26"/>
      <c r="H1406" s="26"/>
      <c r="I1406" s="26"/>
      <c r="J1406" s="26"/>
    </row>
    <row r="1407" ht="15" customHeight="1">
      <c r="A1407" s="27">
        <v>1401</v>
      </c>
      <c r="B1407" s="27"/>
      <c r="C1407" s="27"/>
      <c r="D1407" s="27"/>
      <c r="E1407" s="27"/>
      <c r="F1407" s="27"/>
      <c r="G1407" s="27"/>
      <c r="H1407" s="27"/>
      <c r="I1407" s="27"/>
      <c r="J1407" s="27"/>
    </row>
    <row r="1408" ht="15" customHeight="1">
      <c r="A1408" s="26">
        <v>1402</v>
      </c>
      <c r="B1408" s="26"/>
      <c r="C1408" s="26"/>
      <c r="D1408" s="26"/>
      <c r="E1408" s="26"/>
      <c r="F1408" s="26"/>
      <c r="G1408" s="26"/>
      <c r="H1408" s="26"/>
      <c r="I1408" s="26"/>
      <c r="J1408" s="26"/>
    </row>
    <row r="1409" ht="15" customHeight="1">
      <c r="A1409" s="27">
        <v>1403</v>
      </c>
      <c r="B1409" s="27"/>
      <c r="C1409" s="27"/>
      <c r="D1409" s="27"/>
      <c r="E1409" s="27"/>
      <c r="F1409" s="27"/>
      <c r="G1409" s="27"/>
      <c r="H1409" s="27"/>
      <c r="I1409" s="27"/>
      <c r="J1409" s="27"/>
    </row>
    <row r="1410" ht="15" customHeight="1">
      <c r="A1410" s="26">
        <v>1404</v>
      </c>
      <c r="B1410" s="26"/>
      <c r="C1410" s="26"/>
      <c r="D1410" s="26"/>
      <c r="E1410" s="26"/>
      <c r="F1410" s="26"/>
      <c r="G1410" s="26"/>
      <c r="H1410" s="26"/>
      <c r="I1410" s="26"/>
      <c r="J1410" s="26"/>
    </row>
    <row r="1411" ht="15" customHeight="1">
      <c r="A1411" s="27">
        <v>1405</v>
      </c>
      <c r="B1411" s="27"/>
      <c r="C1411" s="27"/>
      <c r="D1411" s="27"/>
      <c r="E1411" s="27"/>
      <c r="F1411" s="27"/>
      <c r="G1411" s="27"/>
      <c r="H1411" s="27"/>
      <c r="I1411" s="27"/>
      <c r="J1411" s="27"/>
    </row>
    <row r="1412" ht="15" customHeight="1">
      <c r="A1412" s="26">
        <v>1406</v>
      </c>
      <c r="B1412" s="26"/>
      <c r="C1412" s="26"/>
      <c r="D1412" s="26"/>
      <c r="E1412" s="26"/>
      <c r="F1412" s="26"/>
      <c r="G1412" s="26"/>
      <c r="H1412" s="26"/>
      <c r="I1412" s="26"/>
      <c r="J1412" s="26"/>
    </row>
    <row r="1413" ht="15" customHeight="1">
      <c r="A1413" s="27">
        <v>1407</v>
      </c>
      <c r="B1413" s="27"/>
      <c r="C1413" s="27"/>
      <c r="D1413" s="27"/>
      <c r="E1413" s="27"/>
      <c r="F1413" s="27"/>
      <c r="G1413" s="27"/>
      <c r="H1413" s="27"/>
      <c r="I1413" s="27"/>
      <c r="J1413" s="27"/>
    </row>
    <row r="1414" ht="15" customHeight="1">
      <c r="A1414" s="26">
        <v>1408</v>
      </c>
      <c r="B1414" s="26"/>
      <c r="C1414" s="26"/>
      <c r="D1414" s="26"/>
      <c r="E1414" s="26"/>
      <c r="F1414" s="26"/>
      <c r="G1414" s="26"/>
      <c r="H1414" s="26"/>
      <c r="I1414" s="26"/>
      <c r="J1414" s="26"/>
    </row>
    <row r="1415" ht="15" customHeight="1">
      <c r="A1415" s="27">
        <v>1409</v>
      </c>
      <c r="B1415" s="27"/>
      <c r="C1415" s="27"/>
      <c r="D1415" s="27"/>
      <c r="E1415" s="27"/>
      <c r="F1415" s="27"/>
      <c r="G1415" s="27"/>
      <c r="H1415" s="27"/>
      <c r="I1415" s="27"/>
      <c r="J1415" s="27"/>
    </row>
    <row r="1416" ht="15" customHeight="1">
      <c r="A1416" s="26">
        <v>1410</v>
      </c>
      <c r="B1416" s="26"/>
      <c r="C1416" s="26"/>
      <c r="D1416" s="26"/>
      <c r="E1416" s="26"/>
      <c r="F1416" s="26"/>
      <c r="G1416" s="26"/>
      <c r="H1416" s="26"/>
      <c r="I1416" s="26"/>
      <c r="J1416" s="26"/>
    </row>
    <row r="1417" ht="15" customHeight="1">
      <c r="A1417" s="27">
        <v>1411</v>
      </c>
      <c r="B1417" s="27"/>
      <c r="C1417" s="27"/>
      <c r="D1417" s="27"/>
      <c r="E1417" s="27"/>
      <c r="F1417" s="27"/>
      <c r="G1417" s="27"/>
      <c r="H1417" s="27"/>
      <c r="I1417" s="27"/>
      <c r="J1417" s="27"/>
    </row>
    <row r="1418" ht="15" customHeight="1">
      <c r="A1418" s="26">
        <v>1412</v>
      </c>
      <c r="B1418" s="26"/>
      <c r="C1418" s="26"/>
      <c r="D1418" s="26"/>
      <c r="E1418" s="26"/>
      <c r="F1418" s="26"/>
      <c r="G1418" s="26"/>
      <c r="H1418" s="26"/>
      <c r="I1418" s="26"/>
      <c r="J1418" s="26"/>
    </row>
    <row r="1419" ht="15" customHeight="1">
      <c r="A1419" s="27">
        <v>1413</v>
      </c>
      <c r="B1419" s="27"/>
      <c r="C1419" s="27"/>
      <c r="D1419" s="27"/>
      <c r="E1419" s="27"/>
      <c r="F1419" s="27"/>
      <c r="G1419" s="27"/>
      <c r="H1419" s="27"/>
      <c r="I1419" s="27"/>
      <c r="J1419" s="27"/>
    </row>
    <row r="1420" ht="15" customHeight="1">
      <c r="A1420" s="26">
        <v>1414</v>
      </c>
      <c r="B1420" s="26"/>
      <c r="C1420" s="26"/>
      <c r="D1420" s="26"/>
      <c r="E1420" s="26"/>
      <c r="F1420" s="26"/>
      <c r="G1420" s="26"/>
      <c r="H1420" s="26"/>
      <c r="I1420" s="26"/>
      <c r="J1420" s="26"/>
    </row>
    <row r="1421" ht="15" customHeight="1">
      <c r="A1421" s="27">
        <v>1415</v>
      </c>
      <c r="B1421" s="27"/>
      <c r="C1421" s="27"/>
      <c r="D1421" s="27"/>
      <c r="E1421" s="27"/>
      <c r="F1421" s="27"/>
      <c r="G1421" s="27"/>
      <c r="H1421" s="27"/>
      <c r="I1421" s="27"/>
      <c r="J1421" s="27"/>
    </row>
    <row r="1422" ht="15" customHeight="1">
      <c r="A1422" s="26">
        <v>1416</v>
      </c>
      <c r="B1422" s="26"/>
      <c r="C1422" s="26"/>
      <c r="D1422" s="26"/>
      <c r="E1422" s="26"/>
      <c r="F1422" s="26"/>
      <c r="G1422" s="26"/>
      <c r="H1422" s="26"/>
      <c r="I1422" s="26"/>
      <c r="J1422" s="26"/>
    </row>
    <row r="1423" ht="15" customHeight="1">
      <c r="A1423" s="27">
        <v>1417</v>
      </c>
      <c r="B1423" s="27"/>
      <c r="C1423" s="27"/>
      <c r="D1423" s="27"/>
      <c r="E1423" s="27"/>
      <c r="F1423" s="27"/>
      <c r="G1423" s="27"/>
      <c r="H1423" s="27"/>
      <c r="I1423" s="27"/>
      <c r="J1423" s="27"/>
    </row>
    <row r="1424" ht="15" customHeight="1">
      <c r="A1424" s="26">
        <v>1418</v>
      </c>
      <c r="B1424" s="26"/>
      <c r="C1424" s="26"/>
      <c r="D1424" s="26"/>
      <c r="E1424" s="26"/>
      <c r="F1424" s="26"/>
      <c r="G1424" s="26"/>
      <c r="H1424" s="26"/>
      <c r="I1424" s="26"/>
      <c r="J1424" s="26"/>
    </row>
    <row r="1425" ht="15" customHeight="1">
      <c r="A1425" s="27">
        <v>1419</v>
      </c>
      <c r="B1425" s="27"/>
      <c r="C1425" s="27"/>
      <c r="D1425" s="27"/>
      <c r="E1425" s="27"/>
      <c r="F1425" s="27"/>
      <c r="G1425" s="27"/>
      <c r="H1425" s="27"/>
      <c r="I1425" s="27"/>
      <c r="J1425" s="27"/>
    </row>
    <row r="1426" ht="15" customHeight="1">
      <c r="A1426" s="26">
        <v>1420</v>
      </c>
      <c r="B1426" s="26"/>
      <c r="C1426" s="26"/>
      <c r="D1426" s="26"/>
      <c r="E1426" s="26"/>
      <c r="F1426" s="26"/>
      <c r="G1426" s="26"/>
      <c r="H1426" s="26"/>
      <c r="I1426" s="26"/>
      <c r="J1426" s="26"/>
    </row>
    <row r="1427" ht="15" customHeight="1">
      <c r="A1427" s="27">
        <v>1421</v>
      </c>
      <c r="B1427" s="27"/>
      <c r="C1427" s="27"/>
      <c r="D1427" s="27"/>
      <c r="E1427" s="27"/>
      <c r="F1427" s="27"/>
      <c r="G1427" s="27"/>
      <c r="H1427" s="27"/>
      <c r="I1427" s="27"/>
      <c r="J1427" s="27"/>
    </row>
    <row r="1428" ht="15" customHeight="1">
      <c r="A1428" s="26">
        <v>1422</v>
      </c>
      <c r="B1428" s="26"/>
      <c r="C1428" s="26"/>
      <c r="D1428" s="26"/>
      <c r="E1428" s="26"/>
      <c r="F1428" s="26"/>
      <c r="G1428" s="26"/>
      <c r="H1428" s="26"/>
      <c r="I1428" s="26"/>
      <c r="J1428" s="26"/>
    </row>
    <row r="1429" ht="15" customHeight="1">
      <c r="A1429" s="27">
        <v>1423</v>
      </c>
      <c r="B1429" s="27"/>
      <c r="C1429" s="27"/>
      <c r="D1429" s="27"/>
      <c r="E1429" s="27"/>
      <c r="F1429" s="27"/>
      <c r="G1429" s="27"/>
      <c r="H1429" s="27"/>
      <c r="I1429" s="27"/>
      <c r="J1429" s="27"/>
    </row>
    <row r="1430" ht="15" customHeight="1">
      <c r="A1430" s="26">
        <v>1424</v>
      </c>
      <c r="B1430" s="26"/>
      <c r="C1430" s="26"/>
      <c r="D1430" s="26"/>
      <c r="E1430" s="26"/>
      <c r="F1430" s="26"/>
      <c r="G1430" s="26"/>
      <c r="H1430" s="26"/>
      <c r="I1430" s="26"/>
      <c r="J1430" s="26"/>
    </row>
    <row r="1431" ht="15" customHeight="1">
      <c r="A1431" s="27">
        <v>1425</v>
      </c>
      <c r="B1431" s="27"/>
      <c r="C1431" s="27"/>
      <c r="D1431" s="27"/>
      <c r="E1431" s="27"/>
      <c r="F1431" s="27"/>
      <c r="G1431" s="27"/>
      <c r="H1431" s="27"/>
      <c r="I1431" s="27"/>
      <c r="J1431" s="27"/>
    </row>
    <row r="1432" ht="15" customHeight="1">
      <c r="A1432" s="26">
        <v>1426</v>
      </c>
      <c r="B1432" s="26"/>
      <c r="C1432" s="26"/>
      <c r="D1432" s="26"/>
      <c r="E1432" s="26"/>
      <c r="F1432" s="26"/>
      <c r="G1432" s="26"/>
      <c r="H1432" s="26"/>
      <c r="I1432" s="26"/>
      <c r="J1432" s="26"/>
    </row>
    <row r="1433" ht="15" customHeight="1">
      <c r="A1433" s="27">
        <v>1427</v>
      </c>
      <c r="B1433" s="27"/>
      <c r="C1433" s="27"/>
      <c r="D1433" s="27"/>
      <c r="E1433" s="27"/>
      <c r="F1433" s="27"/>
      <c r="G1433" s="27"/>
      <c r="H1433" s="27"/>
      <c r="I1433" s="27"/>
      <c r="J1433" s="27"/>
    </row>
    <row r="1434" ht="15" customHeight="1">
      <c r="A1434" s="26">
        <v>1428</v>
      </c>
      <c r="B1434" s="26"/>
      <c r="C1434" s="26"/>
      <c r="D1434" s="26"/>
      <c r="E1434" s="26"/>
      <c r="F1434" s="26"/>
      <c r="G1434" s="26"/>
      <c r="H1434" s="26"/>
      <c r="I1434" s="26"/>
      <c r="J1434" s="26"/>
    </row>
    <row r="1435" ht="15" customHeight="1">
      <c r="A1435" s="27">
        <v>1429</v>
      </c>
      <c r="B1435" s="27"/>
      <c r="C1435" s="27"/>
      <c r="D1435" s="27"/>
      <c r="E1435" s="27"/>
      <c r="F1435" s="27"/>
      <c r="G1435" s="27"/>
      <c r="H1435" s="27"/>
      <c r="I1435" s="27"/>
      <c r="J1435" s="27"/>
    </row>
    <row r="1436" ht="15" customHeight="1">
      <c r="A1436" s="26">
        <v>1430</v>
      </c>
      <c r="B1436" s="26"/>
      <c r="C1436" s="26"/>
      <c r="D1436" s="26"/>
      <c r="E1436" s="26"/>
      <c r="F1436" s="26"/>
      <c r="G1436" s="26"/>
      <c r="H1436" s="26"/>
      <c r="I1436" s="26"/>
      <c r="J1436" s="26"/>
    </row>
    <row r="1437" ht="15" customHeight="1">
      <c r="A1437" s="27">
        <v>1431</v>
      </c>
      <c r="B1437" s="27"/>
      <c r="C1437" s="27"/>
      <c r="D1437" s="27"/>
      <c r="E1437" s="27"/>
      <c r="F1437" s="27"/>
      <c r="G1437" s="27"/>
      <c r="H1437" s="27"/>
      <c r="I1437" s="27"/>
      <c r="J1437" s="27"/>
    </row>
    <row r="1438" ht="15" customHeight="1">
      <c r="A1438" s="26">
        <v>1432</v>
      </c>
      <c r="B1438" s="26"/>
      <c r="C1438" s="26"/>
      <c r="D1438" s="26"/>
      <c r="E1438" s="26"/>
      <c r="F1438" s="26"/>
      <c r="G1438" s="26"/>
      <c r="H1438" s="26"/>
      <c r="I1438" s="26"/>
      <c r="J1438" s="26"/>
    </row>
    <row r="1439" ht="15" customHeight="1">
      <c r="A1439" s="27">
        <v>1433</v>
      </c>
      <c r="B1439" s="27"/>
      <c r="C1439" s="27"/>
      <c r="D1439" s="27"/>
      <c r="E1439" s="27"/>
      <c r="F1439" s="27"/>
      <c r="G1439" s="27"/>
      <c r="H1439" s="27"/>
      <c r="I1439" s="27"/>
      <c r="J1439" s="27"/>
    </row>
    <row r="1440" ht="15" customHeight="1">
      <c r="A1440" s="26">
        <v>1434</v>
      </c>
      <c r="B1440" s="26"/>
      <c r="C1440" s="26"/>
      <c r="D1440" s="26"/>
      <c r="E1440" s="26"/>
      <c r="F1440" s="26"/>
      <c r="G1440" s="26"/>
      <c r="H1440" s="26"/>
      <c r="I1440" s="26"/>
      <c r="J1440" s="26"/>
    </row>
    <row r="1441" ht="15" customHeight="1">
      <c r="A1441" s="27">
        <v>1435</v>
      </c>
      <c r="B1441" s="27"/>
      <c r="C1441" s="27"/>
      <c r="D1441" s="27"/>
      <c r="E1441" s="27"/>
      <c r="F1441" s="27"/>
      <c r="G1441" s="27"/>
      <c r="H1441" s="27"/>
      <c r="I1441" s="27"/>
      <c r="J1441" s="27"/>
    </row>
    <row r="1442" ht="15" customHeight="1">
      <c r="A1442" s="26">
        <v>1436</v>
      </c>
      <c r="B1442" s="26"/>
      <c r="C1442" s="26"/>
      <c r="D1442" s="26"/>
      <c r="E1442" s="26"/>
      <c r="F1442" s="26"/>
      <c r="G1442" s="26"/>
      <c r="H1442" s="26"/>
      <c r="I1442" s="26"/>
      <c r="J1442" s="26"/>
    </row>
    <row r="1443" ht="15" customHeight="1">
      <c r="A1443" s="27">
        <v>1437</v>
      </c>
      <c r="B1443" s="27"/>
      <c r="C1443" s="27"/>
      <c r="D1443" s="27"/>
      <c r="E1443" s="27"/>
      <c r="F1443" s="27"/>
      <c r="G1443" s="27"/>
      <c r="H1443" s="27"/>
      <c r="I1443" s="27"/>
      <c r="J1443" s="27"/>
    </row>
    <row r="1444" ht="15" customHeight="1">
      <c r="A1444" s="26">
        <v>1438</v>
      </c>
      <c r="B1444" s="26"/>
      <c r="C1444" s="26"/>
      <c r="D1444" s="26"/>
      <c r="E1444" s="26"/>
      <c r="F1444" s="26"/>
      <c r="G1444" s="26"/>
      <c r="H1444" s="26"/>
      <c r="I1444" s="26"/>
      <c r="J1444" s="26"/>
    </row>
    <row r="1445" ht="15" customHeight="1">
      <c r="A1445" s="27">
        <v>1439</v>
      </c>
      <c r="B1445" s="27"/>
      <c r="C1445" s="27"/>
      <c r="D1445" s="27"/>
      <c r="E1445" s="27"/>
      <c r="F1445" s="27"/>
      <c r="G1445" s="27"/>
      <c r="H1445" s="27"/>
      <c r="I1445" s="27"/>
      <c r="J1445" s="27"/>
    </row>
    <row r="1446" ht="15" customHeight="1">
      <c r="A1446" s="26">
        <v>1440</v>
      </c>
      <c r="B1446" s="26"/>
      <c r="C1446" s="26"/>
      <c r="D1446" s="26"/>
      <c r="E1446" s="26"/>
      <c r="F1446" s="26"/>
      <c r="G1446" s="26"/>
      <c r="H1446" s="26"/>
      <c r="I1446" s="26"/>
      <c r="J1446" s="26"/>
    </row>
    <row r="1447" ht="15" customHeight="1">
      <c r="A1447" s="27">
        <v>1441</v>
      </c>
      <c r="B1447" s="27"/>
      <c r="C1447" s="27"/>
      <c r="D1447" s="27"/>
      <c r="E1447" s="27"/>
      <c r="F1447" s="27"/>
      <c r="G1447" s="27"/>
      <c r="H1447" s="27"/>
      <c r="I1447" s="27"/>
      <c r="J1447" s="27"/>
    </row>
    <row r="1448" ht="15" customHeight="1">
      <c r="A1448" s="26">
        <v>1442</v>
      </c>
      <c r="B1448" s="26"/>
      <c r="C1448" s="26"/>
      <c r="D1448" s="26"/>
      <c r="E1448" s="26"/>
      <c r="F1448" s="26"/>
      <c r="G1448" s="26"/>
      <c r="H1448" s="26"/>
      <c r="I1448" s="26"/>
      <c r="J1448" s="26"/>
    </row>
    <row r="1449" ht="15" customHeight="1">
      <c r="A1449" s="27">
        <v>1443</v>
      </c>
      <c r="B1449" s="27"/>
      <c r="C1449" s="27"/>
      <c r="D1449" s="27"/>
      <c r="E1449" s="27"/>
      <c r="F1449" s="27"/>
      <c r="G1449" s="27"/>
      <c r="H1449" s="27"/>
      <c r="I1449" s="27"/>
      <c r="J1449" s="27"/>
    </row>
    <row r="1450" ht="15" customHeight="1">
      <c r="A1450" s="26">
        <v>1444</v>
      </c>
      <c r="B1450" s="26"/>
      <c r="C1450" s="26"/>
      <c r="D1450" s="26"/>
      <c r="E1450" s="26"/>
      <c r="F1450" s="26"/>
      <c r="G1450" s="26"/>
      <c r="H1450" s="26"/>
      <c r="I1450" s="26"/>
      <c r="J1450" s="26"/>
    </row>
    <row r="1451" ht="15" customHeight="1">
      <c r="A1451" s="27">
        <v>1445</v>
      </c>
      <c r="B1451" s="27"/>
      <c r="C1451" s="27"/>
      <c r="D1451" s="27"/>
      <c r="E1451" s="27"/>
      <c r="F1451" s="27"/>
      <c r="G1451" s="27"/>
      <c r="H1451" s="27"/>
      <c r="I1451" s="27"/>
      <c r="J1451" s="27"/>
    </row>
    <row r="1452" ht="15" customHeight="1">
      <c r="A1452" s="26">
        <v>1446</v>
      </c>
      <c r="B1452" s="26"/>
      <c r="C1452" s="26"/>
      <c r="D1452" s="26"/>
      <c r="E1452" s="26"/>
      <c r="F1452" s="26"/>
      <c r="G1452" s="26"/>
      <c r="H1452" s="26"/>
      <c r="I1452" s="26"/>
      <c r="J1452" s="26"/>
    </row>
    <row r="1453" ht="15" customHeight="1">
      <c r="A1453" s="27">
        <v>1447</v>
      </c>
      <c r="B1453" s="27"/>
      <c r="C1453" s="27"/>
      <c r="D1453" s="27"/>
      <c r="E1453" s="27"/>
      <c r="F1453" s="27"/>
      <c r="G1453" s="27"/>
      <c r="H1453" s="27"/>
      <c r="I1453" s="27"/>
      <c r="J1453" s="27"/>
    </row>
    <row r="1454" ht="15" customHeight="1">
      <c r="A1454" s="26">
        <v>1448</v>
      </c>
      <c r="B1454" s="26"/>
      <c r="C1454" s="26"/>
      <c r="D1454" s="26"/>
      <c r="E1454" s="26"/>
      <c r="F1454" s="26"/>
      <c r="G1454" s="26"/>
      <c r="H1454" s="26"/>
      <c r="I1454" s="26"/>
      <c r="J1454" s="26"/>
    </row>
    <row r="1455" ht="15" customHeight="1">
      <c r="A1455" s="27">
        <v>1449</v>
      </c>
      <c r="B1455" s="27"/>
      <c r="C1455" s="27"/>
      <c r="D1455" s="27"/>
      <c r="E1455" s="27"/>
      <c r="F1455" s="27"/>
      <c r="G1455" s="27"/>
      <c r="H1455" s="27"/>
      <c r="I1455" s="27"/>
      <c r="J1455" s="27"/>
    </row>
    <row r="1456" ht="15" customHeight="1">
      <c r="A1456" s="26">
        <v>1450</v>
      </c>
      <c r="B1456" s="26"/>
      <c r="C1456" s="26"/>
      <c r="D1456" s="26"/>
      <c r="E1456" s="26"/>
      <c r="F1456" s="26"/>
      <c r="G1456" s="26"/>
      <c r="H1456" s="26"/>
      <c r="I1456" s="26"/>
      <c r="J1456" s="26"/>
    </row>
    <row r="1457" ht="15" customHeight="1">
      <c r="A1457" s="27">
        <v>1451</v>
      </c>
      <c r="B1457" s="27"/>
      <c r="C1457" s="27"/>
      <c r="D1457" s="27"/>
      <c r="E1457" s="27"/>
      <c r="F1457" s="27"/>
      <c r="G1457" s="27"/>
      <c r="H1457" s="27"/>
      <c r="I1457" s="27"/>
      <c r="J1457" s="27"/>
    </row>
    <row r="1458" ht="15" customHeight="1">
      <c r="A1458" s="26">
        <v>1452</v>
      </c>
      <c r="B1458" s="26"/>
      <c r="C1458" s="26"/>
      <c r="D1458" s="26"/>
      <c r="E1458" s="26"/>
      <c r="F1458" s="26"/>
      <c r="G1458" s="26"/>
      <c r="H1458" s="26"/>
      <c r="I1458" s="26"/>
      <c r="J1458" s="26"/>
    </row>
    <row r="1459" ht="15" customHeight="1">
      <c r="A1459" s="27">
        <v>1453</v>
      </c>
      <c r="B1459" s="27"/>
      <c r="C1459" s="27"/>
      <c r="D1459" s="27"/>
      <c r="E1459" s="27"/>
      <c r="F1459" s="27"/>
      <c r="G1459" s="27"/>
      <c r="H1459" s="27"/>
      <c r="I1459" s="27"/>
      <c r="J1459" s="27"/>
    </row>
    <row r="1460" ht="15" customHeight="1">
      <c r="A1460" s="26">
        <v>1454</v>
      </c>
      <c r="B1460" s="26"/>
      <c r="C1460" s="26"/>
      <c r="D1460" s="26"/>
      <c r="E1460" s="26"/>
      <c r="F1460" s="26"/>
      <c r="G1460" s="26"/>
      <c r="H1460" s="26"/>
      <c r="I1460" s="26"/>
      <c r="J1460" s="26"/>
    </row>
    <row r="1461" ht="15" customHeight="1">
      <c r="A1461" s="27">
        <v>1455</v>
      </c>
      <c r="B1461" s="27"/>
      <c r="C1461" s="27"/>
      <c r="D1461" s="27"/>
      <c r="E1461" s="27"/>
      <c r="F1461" s="27"/>
      <c r="G1461" s="27"/>
      <c r="H1461" s="27"/>
      <c r="I1461" s="27"/>
      <c r="J1461" s="27"/>
    </row>
    <row r="1462" ht="15" customHeight="1">
      <c r="A1462" s="26">
        <v>1456</v>
      </c>
      <c r="B1462" s="26"/>
      <c r="C1462" s="26"/>
      <c r="D1462" s="26"/>
      <c r="E1462" s="26"/>
      <c r="F1462" s="26"/>
      <c r="G1462" s="26"/>
      <c r="H1462" s="26"/>
      <c r="I1462" s="26"/>
      <c r="J1462" s="26"/>
    </row>
    <row r="1463" ht="15" customHeight="1">
      <c r="A1463" s="27">
        <v>1457</v>
      </c>
      <c r="B1463" s="27"/>
      <c r="C1463" s="27"/>
      <c r="D1463" s="27"/>
      <c r="E1463" s="27"/>
      <c r="F1463" s="27"/>
      <c r="G1463" s="27"/>
      <c r="H1463" s="27"/>
      <c r="I1463" s="27"/>
      <c r="J1463" s="27"/>
    </row>
    <row r="1464" ht="15" customHeight="1">
      <c r="A1464" s="26">
        <v>1458</v>
      </c>
      <c r="B1464" s="26"/>
      <c r="C1464" s="26"/>
      <c r="D1464" s="26"/>
      <c r="E1464" s="26"/>
      <c r="F1464" s="26"/>
      <c r="G1464" s="26"/>
      <c r="H1464" s="26"/>
      <c r="I1464" s="26"/>
      <c r="J1464" s="26"/>
    </row>
    <row r="1465" ht="15" customHeight="1">
      <c r="A1465" s="27">
        <v>1459</v>
      </c>
      <c r="B1465" s="27"/>
      <c r="C1465" s="27"/>
      <c r="D1465" s="27"/>
      <c r="E1465" s="27"/>
      <c r="F1465" s="27"/>
      <c r="G1465" s="27"/>
      <c r="H1465" s="27"/>
      <c r="I1465" s="27"/>
      <c r="J1465" s="27"/>
    </row>
    <row r="1466" ht="15" customHeight="1">
      <c r="A1466" s="26">
        <v>1460</v>
      </c>
      <c r="B1466" s="26"/>
      <c r="C1466" s="26"/>
      <c r="D1466" s="26"/>
      <c r="E1466" s="26"/>
      <c r="F1466" s="26"/>
      <c r="G1466" s="26"/>
      <c r="H1466" s="26"/>
      <c r="I1466" s="26"/>
      <c r="J1466" s="26"/>
    </row>
    <row r="1467" ht="15" customHeight="1">
      <c r="A1467" s="27">
        <v>1461</v>
      </c>
      <c r="B1467" s="27"/>
      <c r="C1467" s="27"/>
      <c r="D1467" s="27"/>
      <c r="E1467" s="27"/>
      <c r="F1467" s="27"/>
      <c r="G1467" s="27"/>
      <c r="H1467" s="27"/>
      <c r="I1467" s="27"/>
      <c r="J1467" s="27"/>
    </row>
    <row r="1468" ht="15" customHeight="1">
      <c r="A1468" s="26">
        <v>1462</v>
      </c>
      <c r="B1468" s="26"/>
      <c r="C1468" s="26"/>
      <c r="D1468" s="26"/>
      <c r="E1468" s="26"/>
      <c r="F1468" s="26"/>
      <c r="G1468" s="26"/>
      <c r="H1468" s="26"/>
      <c r="I1468" s="26"/>
      <c r="J1468" s="26"/>
    </row>
    <row r="1469" ht="15" customHeight="1">
      <c r="A1469" s="27">
        <v>1463</v>
      </c>
      <c r="B1469" s="27"/>
      <c r="C1469" s="27"/>
      <c r="D1469" s="27"/>
      <c r="E1469" s="27"/>
      <c r="F1469" s="27"/>
      <c r="G1469" s="27"/>
      <c r="H1469" s="27"/>
      <c r="I1469" s="27"/>
      <c r="J1469" s="27"/>
    </row>
    <row r="1470" ht="15" customHeight="1">
      <c r="A1470" s="26">
        <v>1464</v>
      </c>
      <c r="B1470" s="26"/>
      <c r="C1470" s="26"/>
      <c r="D1470" s="26"/>
      <c r="E1470" s="26"/>
      <c r="F1470" s="26"/>
      <c r="G1470" s="26"/>
      <c r="H1470" s="26"/>
      <c r="I1470" s="26"/>
      <c r="J1470" s="26"/>
    </row>
    <row r="1471" ht="15" customHeight="1">
      <c r="A1471" s="27">
        <v>1465</v>
      </c>
      <c r="B1471" s="27"/>
      <c r="C1471" s="27"/>
      <c r="D1471" s="27"/>
      <c r="E1471" s="27"/>
      <c r="F1471" s="27"/>
      <c r="G1471" s="27"/>
      <c r="H1471" s="27"/>
      <c r="I1471" s="27"/>
      <c r="J1471" s="27"/>
    </row>
    <row r="1472" ht="15" customHeight="1">
      <c r="A1472" s="26">
        <v>1466</v>
      </c>
      <c r="B1472" s="26"/>
      <c r="C1472" s="26"/>
      <c r="D1472" s="26"/>
      <c r="E1472" s="26"/>
      <c r="F1472" s="26"/>
      <c r="G1472" s="26"/>
      <c r="H1472" s="26"/>
      <c r="I1472" s="26"/>
      <c r="J1472" s="26"/>
    </row>
    <row r="1473" ht="15" customHeight="1">
      <c r="A1473" s="27">
        <v>1467</v>
      </c>
      <c r="B1473" s="27"/>
      <c r="C1473" s="27"/>
      <c r="D1473" s="27"/>
      <c r="E1473" s="27"/>
      <c r="F1473" s="27"/>
      <c r="G1473" s="27"/>
      <c r="H1473" s="27"/>
      <c r="I1473" s="27"/>
      <c r="J1473" s="27"/>
    </row>
    <row r="1474" ht="15" customHeight="1">
      <c r="A1474" s="26">
        <v>1468</v>
      </c>
      <c r="B1474" s="26"/>
      <c r="C1474" s="26"/>
      <c r="D1474" s="26"/>
      <c r="E1474" s="26"/>
      <c r="F1474" s="26"/>
      <c r="G1474" s="26"/>
      <c r="H1474" s="26"/>
      <c r="I1474" s="26"/>
      <c r="J1474" s="26"/>
    </row>
    <row r="1475" ht="15" customHeight="1">
      <c r="A1475" s="27">
        <v>1469</v>
      </c>
      <c r="B1475" s="27"/>
      <c r="C1475" s="27"/>
      <c r="D1475" s="27"/>
      <c r="E1475" s="27"/>
      <c r="F1475" s="27"/>
      <c r="G1475" s="27"/>
      <c r="H1475" s="27"/>
      <c r="I1475" s="27"/>
      <c r="J1475" s="27"/>
    </row>
    <row r="1476" ht="15" customHeight="1">
      <c r="A1476" s="26">
        <v>1470</v>
      </c>
      <c r="B1476" s="26"/>
      <c r="C1476" s="26"/>
      <c r="D1476" s="26"/>
      <c r="E1476" s="26"/>
      <c r="F1476" s="26"/>
      <c r="G1476" s="26"/>
      <c r="H1476" s="26"/>
      <c r="I1476" s="26"/>
      <c r="J1476" s="26"/>
    </row>
    <row r="1477" ht="15" customHeight="1">
      <c r="A1477" s="27">
        <v>1471</v>
      </c>
      <c r="B1477" s="27"/>
      <c r="C1477" s="27"/>
      <c r="D1477" s="27"/>
      <c r="E1477" s="27"/>
      <c r="F1477" s="27"/>
      <c r="G1477" s="27"/>
      <c r="H1477" s="27"/>
      <c r="I1477" s="27"/>
      <c r="J1477" s="27"/>
    </row>
    <row r="1478" ht="15" customHeight="1">
      <c r="A1478" s="26">
        <v>1472</v>
      </c>
      <c r="B1478" s="26"/>
      <c r="C1478" s="26"/>
      <c r="D1478" s="26"/>
      <c r="E1478" s="26"/>
      <c r="F1478" s="26"/>
      <c r="G1478" s="26"/>
      <c r="H1478" s="26"/>
      <c r="I1478" s="26"/>
      <c r="J1478" s="26"/>
    </row>
    <row r="1479" ht="15" customHeight="1">
      <c r="A1479" s="27">
        <v>1473</v>
      </c>
      <c r="B1479" s="27"/>
      <c r="C1479" s="27"/>
      <c r="D1479" s="27"/>
      <c r="E1479" s="27"/>
      <c r="F1479" s="27"/>
      <c r="G1479" s="27"/>
      <c r="H1479" s="27"/>
      <c r="I1479" s="27"/>
      <c r="J1479" s="27"/>
    </row>
    <row r="1480" ht="15" customHeight="1">
      <c r="A1480" s="26">
        <v>1474</v>
      </c>
      <c r="B1480" s="26"/>
      <c r="C1480" s="26"/>
      <c r="D1480" s="26"/>
      <c r="E1480" s="26"/>
      <c r="F1480" s="26"/>
      <c r="G1480" s="26"/>
      <c r="H1480" s="26"/>
      <c r="I1480" s="26"/>
      <c r="J1480" s="26"/>
    </row>
    <row r="1481" ht="15" customHeight="1">
      <c r="A1481" s="27">
        <v>1475</v>
      </c>
      <c r="B1481" s="27"/>
      <c r="C1481" s="27"/>
      <c r="D1481" s="27"/>
      <c r="E1481" s="27"/>
      <c r="F1481" s="27"/>
      <c r="G1481" s="27"/>
      <c r="H1481" s="27"/>
      <c r="I1481" s="27"/>
      <c r="J1481" s="27"/>
    </row>
    <row r="1482" ht="15" customHeight="1">
      <c r="A1482" s="26">
        <v>1476</v>
      </c>
      <c r="B1482" s="26"/>
      <c r="C1482" s="26"/>
      <c r="D1482" s="26"/>
      <c r="E1482" s="26"/>
      <c r="F1482" s="26"/>
      <c r="G1482" s="26"/>
      <c r="H1482" s="26"/>
      <c r="I1482" s="26"/>
      <c r="J1482" s="26"/>
    </row>
    <row r="1483" ht="15" customHeight="1">
      <c r="A1483" s="27">
        <v>1477</v>
      </c>
      <c r="B1483" s="27"/>
      <c r="C1483" s="27"/>
      <c r="D1483" s="27"/>
      <c r="E1483" s="27"/>
      <c r="F1483" s="27"/>
      <c r="G1483" s="27"/>
      <c r="H1483" s="27"/>
      <c r="I1483" s="27"/>
      <c r="J1483" s="27"/>
    </row>
    <row r="1484" ht="15" customHeight="1">
      <c r="A1484" s="26">
        <v>1478</v>
      </c>
      <c r="B1484" s="26"/>
      <c r="C1484" s="26"/>
      <c r="D1484" s="26"/>
      <c r="E1484" s="26"/>
      <c r="F1484" s="26"/>
      <c r="G1484" s="26"/>
      <c r="H1484" s="26"/>
      <c r="I1484" s="26"/>
      <c r="J1484" s="26"/>
    </row>
    <row r="1485" ht="15" customHeight="1">
      <c r="A1485" s="27">
        <v>1479</v>
      </c>
      <c r="B1485" s="27"/>
      <c r="C1485" s="27"/>
      <c r="D1485" s="27"/>
      <c r="E1485" s="27"/>
      <c r="F1485" s="27"/>
      <c r="G1485" s="27"/>
      <c r="H1485" s="27"/>
      <c r="I1485" s="27"/>
      <c r="J1485" s="27"/>
    </row>
    <row r="1486" ht="15" customHeight="1">
      <c r="A1486" s="26">
        <v>1480</v>
      </c>
      <c r="B1486" s="26"/>
      <c r="C1486" s="26"/>
      <c r="D1486" s="26"/>
      <c r="E1486" s="26"/>
      <c r="F1486" s="26"/>
      <c r="G1486" s="26"/>
      <c r="H1486" s="26"/>
      <c r="I1486" s="26"/>
      <c r="J1486" s="26"/>
    </row>
    <row r="1487" ht="15" customHeight="1">
      <c r="A1487" s="27">
        <v>1481</v>
      </c>
      <c r="B1487" s="27"/>
      <c r="C1487" s="27"/>
      <c r="D1487" s="27"/>
      <c r="E1487" s="27"/>
      <c r="F1487" s="27"/>
      <c r="G1487" s="27"/>
      <c r="H1487" s="27"/>
      <c r="I1487" s="27"/>
      <c r="J1487" s="27"/>
    </row>
    <row r="1488" ht="15" customHeight="1">
      <c r="A1488" s="26">
        <v>1482</v>
      </c>
      <c r="B1488" s="26"/>
      <c r="C1488" s="26"/>
      <c r="D1488" s="26"/>
      <c r="E1488" s="26"/>
      <c r="F1488" s="26"/>
      <c r="G1488" s="26"/>
      <c r="H1488" s="26"/>
      <c r="I1488" s="26"/>
      <c r="J1488" s="26"/>
    </row>
    <row r="1489" ht="15" customHeight="1">
      <c r="A1489" s="27">
        <v>1483</v>
      </c>
      <c r="B1489" s="27"/>
      <c r="C1489" s="27"/>
      <c r="D1489" s="27"/>
      <c r="E1489" s="27"/>
      <c r="F1489" s="27"/>
      <c r="G1489" s="27"/>
      <c r="H1489" s="27"/>
      <c r="I1489" s="27"/>
      <c r="J1489" s="27"/>
    </row>
    <row r="1490" ht="15" customHeight="1">
      <c r="A1490" s="26">
        <v>1484</v>
      </c>
      <c r="B1490" s="26"/>
      <c r="C1490" s="26"/>
      <c r="D1490" s="26"/>
      <c r="E1490" s="26"/>
      <c r="F1490" s="26"/>
      <c r="G1490" s="26"/>
      <c r="H1490" s="26"/>
      <c r="I1490" s="26"/>
      <c r="J1490" s="26"/>
    </row>
    <row r="1491" ht="15" customHeight="1">
      <c r="A1491" s="27">
        <v>1485</v>
      </c>
      <c r="B1491" s="27"/>
      <c r="C1491" s="27"/>
      <c r="D1491" s="27"/>
      <c r="E1491" s="27"/>
      <c r="F1491" s="27"/>
      <c r="G1491" s="27"/>
      <c r="H1491" s="27"/>
      <c r="I1491" s="27"/>
      <c r="J1491" s="27"/>
    </row>
    <row r="1492" ht="15" customHeight="1">
      <c r="A1492" s="26">
        <v>1486</v>
      </c>
      <c r="B1492" s="26"/>
      <c r="C1492" s="26"/>
      <c r="D1492" s="26"/>
      <c r="E1492" s="26"/>
      <c r="F1492" s="26"/>
      <c r="G1492" s="26"/>
      <c r="H1492" s="26"/>
      <c r="I1492" s="26"/>
      <c r="J1492" s="26"/>
    </row>
    <row r="1493" ht="15" customHeight="1">
      <c r="A1493" s="27">
        <v>1487</v>
      </c>
      <c r="B1493" s="27"/>
      <c r="C1493" s="27"/>
      <c r="D1493" s="27"/>
      <c r="E1493" s="27"/>
      <c r="F1493" s="27"/>
      <c r="G1493" s="27"/>
      <c r="H1493" s="27"/>
      <c r="I1493" s="27"/>
      <c r="J1493" s="27"/>
    </row>
    <row r="1494" ht="15" customHeight="1">
      <c r="A1494" s="26">
        <v>1488</v>
      </c>
      <c r="B1494" s="26"/>
      <c r="C1494" s="26"/>
      <c r="D1494" s="26"/>
      <c r="E1494" s="26"/>
      <c r="F1494" s="26"/>
      <c r="G1494" s="26"/>
      <c r="H1494" s="26"/>
      <c r="I1494" s="26"/>
      <c r="J1494" s="26"/>
    </row>
    <row r="1495" ht="15" customHeight="1">
      <c r="A1495" s="27">
        <v>1489</v>
      </c>
      <c r="B1495" s="27"/>
      <c r="C1495" s="27"/>
      <c r="D1495" s="27"/>
      <c r="E1495" s="27"/>
      <c r="F1495" s="27"/>
      <c r="G1495" s="27"/>
      <c r="H1495" s="27"/>
      <c r="I1495" s="27"/>
      <c r="J1495" s="27"/>
    </row>
    <row r="1496" ht="15" customHeight="1">
      <c r="A1496" s="26">
        <v>1490</v>
      </c>
      <c r="B1496" s="26"/>
      <c r="C1496" s="26"/>
      <c r="D1496" s="26"/>
      <c r="E1496" s="26"/>
      <c r="F1496" s="26"/>
      <c r="G1496" s="26"/>
      <c r="H1496" s="26"/>
      <c r="I1496" s="26"/>
      <c r="J1496" s="26"/>
    </row>
    <row r="1497" ht="15" customHeight="1">
      <c r="A1497" s="27">
        <v>1491</v>
      </c>
      <c r="B1497" s="27"/>
      <c r="C1497" s="27"/>
      <c r="D1497" s="27"/>
      <c r="E1497" s="27"/>
      <c r="F1497" s="27"/>
      <c r="G1497" s="27"/>
      <c r="H1497" s="27"/>
      <c r="I1497" s="27"/>
      <c r="J1497" s="27"/>
    </row>
    <row r="1498" ht="15" customHeight="1">
      <c r="A1498" s="26">
        <v>1492</v>
      </c>
      <c r="B1498" s="26"/>
      <c r="C1498" s="26"/>
      <c r="D1498" s="26"/>
      <c r="E1498" s="26"/>
      <c r="F1498" s="26"/>
      <c r="G1498" s="26"/>
      <c r="H1498" s="26"/>
      <c r="I1498" s="26"/>
      <c r="J1498" s="26"/>
    </row>
    <row r="1499" ht="15" customHeight="1">
      <c r="A1499" s="27">
        <v>1493</v>
      </c>
      <c r="B1499" s="27"/>
      <c r="C1499" s="27"/>
      <c r="D1499" s="27"/>
      <c r="E1499" s="27"/>
      <c r="F1499" s="27"/>
      <c r="G1499" s="27"/>
      <c r="H1499" s="27"/>
      <c r="I1499" s="27"/>
      <c r="J1499" s="27"/>
    </row>
    <row r="1500" ht="15" customHeight="1">
      <c r="A1500" s="26">
        <v>1494</v>
      </c>
      <c r="B1500" s="26"/>
      <c r="C1500" s="26"/>
      <c r="D1500" s="26"/>
      <c r="E1500" s="26"/>
      <c r="F1500" s="26"/>
      <c r="G1500" s="26"/>
      <c r="H1500" s="26"/>
      <c r="I1500" s="26"/>
      <c r="J1500" s="26"/>
    </row>
    <row r="1501" ht="15" customHeight="1">
      <c r="A1501" s="27">
        <v>1495</v>
      </c>
      <c r="B1501" s="27"/>
      <c r="C1501" s="27"/>
      <c r="D1501" s="27"/>
      <c r="E1501" s="27"/>
      <c r="F1501" s="27"/>
      <c r="G1501" s="27"/>
      <c r="H1501" s="27"/>
      <c r="I1501" s="27"/>
      <c r="J1501" s="27"/>
    </row>
    <row r="1502" ht="15" customHeight="1">
      <c r="A1502" s="26">
        <v>1496</v>
      </c>
      <c r="B1502" s="26"/>
      <c r="C1502" s="26"/>
      <c r="D1502" s="26"/>
      <c r="E1502" s="26"/>
      <c r="F1502" s="26"/>
      <c r="G1502" s="26"/>
      <c r="H1502" s="26"/>
      <c r="I1502" s="26"/>
      <c r="J1502" s="26"/>
    </row>
    <row r="1503" ht="15" customHeight="1">
      <c r="A1503" s="27">
        <v>1497</v>
      </c>
      <c r="B1503" s="27"/>
      <c r="C1503" s="27"/>
      <c r="D1503" s="27"/>
      <c r="E1503" s="27"/>
      <c r="F1503" s="27"/>
      <c r="G1503" s="27"/>
      <c r="H1503" s="27"/>
      <c r="I1503" s="27"/>
      <c r="J1503" s="27"/>
    </row>
    <row r="1504" ht="15" customHeight="1">
      <c r="A1504" s="26">
        <v>1498</v>
      </c>
      <c r="B1504" s="26"/>
      <c r="C1504" s="26"/>
      <c r="D1504" s="26"/>
      <c r="E1504" s="26"/>
      <c r="F1504" s="26"/>
      <c r="G1504" s="26"/>
      <c r="H1504" s="26"/>
      <c r="I1504" s="26"/>
      <c r="J1504" s="26"/>
    </row>
    <row r="1505" ht="15" customHeight="1">
      <c r="A1505" s="27">
        <v>1499</v>
      </c>
      <c r="B1505" s="27"/>
      <c r="C1505" s="27"/>
      <c r="D1505" s="27"/>
      <c r="E1505" s="27"/>
      <c r="F1505" s="27"/>
      <c r="G1505" s="27"/>
      <c r="H1505" s="27"/>
      <c r="I1505" s="27"/>
      <c r="J1505" s="27"/>
    </row>
    <row r="1506" ht="15" customHeight="1">
      <c r="A1506" s="26">
        <v>1500</v>
      </c>
      <c r="B1506" s="26"/>
      <c r="C1506" s="26"/>
      <c r="D1506" s="26"/>
      <c r="E1506" s="26"/>
      <c r="F1506" s="26"/>
      <c r="G1506" s="26"/>
      <c r="H1506" s="26"/>
      <c r="I1506" s="26"/>
      <c r="J1506" s="26"/>
    </row>
    <row r="1507" ht="15" customHeight="1">
      <c r="A1507" s="27">
        <v>1501</v>
      </c>
      <c r="B1507" s="27"/>
      <c r="C1507" s="27"/>
      <c r="D1507" s="27"/>
      <c r="E1507" s="27"/>
      <c r="F1507" s="27"/>
      <c r="G1507" s="27"/>
      <c r="H1507" s="27"/>
      <c r="I1507" s="27"/>
      <c r="J1507" s="27"/>
    </row>
    <row r="1508" ht="15" customHeight="1">
      <c r="A1508" s="26">
        <v>1502</v>
      </c>
      <c r="B1508" s="26"/>
      <c r="C1508" s="26"/>
      <c r="D1508" s="26"/>
      <c r="E1508" s="26"/>
      <c r="F1508" s="26"/>
      <c r="G1508" s="26"/>
      <c r="H1508" s="26"/>
      <c r="I1508" s="26"/>
      <c r="J1508" s="26"/>
    </row>
    <row r="1509" ht="15" customHeight="1">
      <c r="A1509" s="27">
        <v>1503</v>
      </c>
      <c r="B1509" s="27"/>
      <c r="C1509" s="27"/>
      <c r="D1509" s="27"/>
      <c r="E1509" s="27"/>
      <c r="F1509" s="27"/>
      <c r="G1509" s="27"/>
      <c r="H1509" s="27"/>
      <c r="I1509" s="27"/>
      <c r="J1509" s="27"/>
    </row>
    <row r="1510" ht="15" customHeight="1">
      <c r="A1510" s="26">
        <v>1504</v>
      </c>
      <c r="B1510" s="26"/>
      <c r="C1510" s="26"/>
      <c r="D1510" s="26"/>
      <c r="E1510" s="26"/>
      <c r="F1510" s="26"/>
      <c r="G1510" s="26"/>
      <c r="H1510" s="26"/>
      <c r="I1510" s="26"/>
      <c r="J1510" s="26"/>
    </row>
    <row r="1511" ht="15" customHeight="1">
      <c r="A1511" s="27">
        <v>1505</v>
      </c>
      <c r="B1511" s="27"/>
      <c r="C1511" s="27"/>
      <c r="D1511" s="27"/>
      <c r="E1511" s="27"/>
      <c r="F1511" s="27"/>
      <c r="G1511" s="27"/>
      <c r="H1511" s="27"/>
      <c r="I1511" s="27"/>
      <c r="J1511" s="27"/>
    </row>
    <row r="1512" ht="15" customHeight="1">
      <c r="A1512" s="26">
        <v>1506</v>
      </c>
      <c r="B1512" s="26"/>
      <c r="C1512" s="26"/>
      <c r="D1512" s="26"/>
      <c r="E1512" s="26"/>
      <c r="F1512" s="26"/>
      <c r="G1512" s="26"/>
      <c r="H1512" s="26"/>
      <c r="I1512" s="26"/>
      <c r="J1512" s="26"/>
    </row>
    <row r="1513" ht="15" customHeight="1">
      <c r="A1513" s="27">
        <v>1507</v>
      </c>
      <c r="B1513" s="27"/>
      <c r="C1513" s="27"/>
      <c r="D1513" s="27"/>
      <c r="E1513" s="27"/>
      <c r="F1513" s="27"/>
      <c r="G1513" s="27"/>
      <c r="H1513" s="27"/>
      <c r="I1513" s="27"/>
      <c r="J1513" s="27"/>
    </row>
    <row r="1514" ht="15" customHeight="1">
      <c r="A1514" s="26">
        <v>1508</v>
      </c>
      <c r="B1514" s="26"/>
      <c r="C1514" s="26"/>
      <c r="D1514" s="26"/>
      <c r="E1514" s="26"/>
      <c r="F1514" s="26"/>
      <c r="G1514" s="26"/>
      <c r="H1514" s="26"/>
      <c r="I1514" s="26"/>
      <c r="J1514" s="26"/>
    </row>
    <row r="1515" ht="15" customHeight="1">
      <c r="A1515" s="27">
        <v>1509</v>
      </c>
      <c r="B1515" s="27"/>
      <c r="C1515" s="27"/>
      <c r="D1515" s="27"/>
      <c r="E1515" s="27"/>
      <c r="F1515" s="27"/>
      <c r="G1515" s="27"/>
      <c r="H1515" s="27"/>
      <c r="I1515" s="27"/>
      <c r="J1515" s="27"/>
    </row>
    <row r="1516" ht="15" customHeight="1">
      <c r="A1516" s="26">
        <v>1510</v>
      </c>
      <c r="B1516" s="26"/>
      <c r="C1516" s="26"/>
      <c r="D1516" s="26"/>
      <c r="E1516" s="26"/>
      <c r="F1516" s="26"/>
      <c r="G1516" s="26"/>
      <c r="H1516" s="26"/>
      <c r="I1516" s="26"/>
      <c r="J1516" s="26"/>
    </row>
    <row r="1517" ht="15" customHeight="1">
      <c r="A1517" s="27">
        <v>1511</v>
      </c>
      <c r="B1517" s="27"/>
      <c r="C1517" s="27"/>
      <c r="D1517" s="27"/>
      <c r="E1517" s="27"/>
      <c r="F1517" s="27"/>
      <c r="G1517" s="27"/>
      <c r="H1517" s="27"/>
      <c r="I1517" s="27"/>
      <c r="J1517" s="27"/>
    </row>
    <row r="1518" ht="15" customHeight="1">
      <c r="A1518" s="26">
        <v>1512</v>
      </c>
      <c r="B1518" s="26"/>
      <c r="C1518" s="26"/>
      <c r="D1518" s="26"/>
      <c r="E1518" s="26"/>
      <c r="F1518" s="26"/>
      <c r="G1518" s="26"/>
      <c r="H1518" s="26"/>
      <c r="I1518" s="26"/>
      <c r="J1518" s="26"/>
    </row>
    <row r="1519" ht="15" customHeight="1">
      <c r="A1519" s="27">
        <v>1513</v>
      </c>
      <c r="B1519" s="27"/>
      <c r="C1519" s="27"/>
      <c r="D1519" s="27"/>
      <c r="E1519" s="27"/>
      <c r="F1519" s="27"/>
      <c r="G1519" s="27"/>
      <c r="H1519" s="27"/>
      <c r="I1519" s="27"/>
      <c r="J1519" s="27"/>
    </row>
    <row r="1520" ht="15" customHeight="1">
      <c r="A1520" s="26">
        <v>1514</v>
      </c>
      <c r="B1520" s="26"/>
      <c r="C1520" s="26"/>
      <c r="D1520" s="26"/>
      <c r="E1520" s="26"/>
      <c r="F1520" s="26"/>
      <c r="G1520" s="26"/>
      <c r="H1520" s="26"/>
      <c r="I1520" s="26"/>
      <c r="J1520" s="26"/>
    </row>
    <row r="1521" ht="15" customHeight="1">
      <c r="A1521" s="27">
        <v>1515</v>
      </c>
      <c r="B1521" s="27"/>
      <c r="C1521" s="27"/>
      <c r="D1521" s="27"/>
      <c r="E1521" s="27"/>
      <c r="F1521" s="27"/>
      <c r="G1521" s="27"/>
      <c r="H1521" s="27"/>
      <c r="I1521" s="27"/>
      <c r="J1521" s="27"/>
    </row>
    <row r="1522" ht="15" customHeight="1">
      <c r="A1522" s="26">
        <v>1516</v>
      </c>
      <c r="B1522" s="26"/>
      <c r="C1522" s="26"/>
      <c r="D1522" s="26"/>
      <c r="E1522" s="26"/>
      <c r="F1522" s="26"/>
      <c r="G1522" s="26"/>
      <c r="H1522" s="26"/>
      <c r="I1522" s="26"/>
      <c r="J1522" s="26"/>
    </row>
    <row r="1523" ht="15" customHeight="1">
      <c r="A1523" s="27">
        <v>1517</v>
      </c>
      <c r="B1523" s="27"/>
      <c r="C1523" s="27"/>
      <c r="D1523" s="27"/>
      <c r="E1523" s="27"/>
      <c r="F1523" s="27"/>
      <c r="G1523" s="27"/>
      <c r="H1523" s="27"/>
      <c r="I1523" s="27"/>
      <c r="J1523" s="27"/>
    </row>
    <row r="1524" ht="15" customHeight="1">
      <c r="A1524" s="26">
        <v>1518</v>
      </c>
      <c r="B1524" s="26"/>
      <c r="C1524" s="26"/>
      <c r="D1524" s="26"/>
      <c r="E1524" s="26"/>
      <c r="F1524" s="26"/>
      <c r="G1524" s="26"/>
      <c r="H1524" s="26"/>
      <c r="I1524" s="26"/>
      <c r="J1524" s="26"/>
    </row>
    <row r="1525" ht="15" customHeight="1">
      <c r="A1525" s="27">
        <v>1519</v>
      </c>
      <c r="B1525" s="27"/>
      <c r="C1525" s="27"/>
      <c r="D1525" s="27"/>
      <c r="E1525" s="27"/>
      <c r="F1525" s="27"/>
      <c r="G1525" s="27"/>
      <c r="H1525" s="27"/>
      <c r="I1525" s="27"/>
      <c r="J1525" s="27"/>
    </row>
    <row r="1526" ht="15" customHeight="1">
      <c r="A1526" s="26">
        <v>1520</v>
      </c>
      <c r="B1526" s="26"/>
      <c r="C1526" s="26"/>
      <c r="D1526" s="26"/>
      <c r="E1526" s="26"/>
      <c r="F1526" s="26"/>
      <c r="G1526" s="26"/>
      <c r="H1526" s="26"/>
      <c r="I1526" s="26"/>
      <c r="J1526" s="26"/>
    </row>
    <row r="1527" ht="15" customHeight="1">
      <c r="A1527" s="27">
        <v>1521</v>
      </c>
      <c r="B1527" s="27"/>
      <c r="C1527" s="27"/>
      <c r="D1527" s="27"/>
      <c r="E1527" s="27"/>
      <c r="F1527" s="27"/>
      <c r="G1527" s="27"/>
      <c r="H1527" s="27"/>
      <c r="I1527" s="27"/>
      <c r="J1527" s="27"/>
    </row>
    <row r="1528" ht="15" customHeight="1">
      <c r="A1528" s="26">
        <v>1522</v>
      </c>
      <c r="B1528" s="26"/>
      <c r="C1528" s="26"/>
      <c r="D1528" s="26"/>
      <c r="E1528" s="26"/>
      <c r="F1528" s="26"/>
      <c r="G1528" s="26"/>
      <c r="H1528" s="26"/>
      <c r="I1528" s="26"/>
      <c r="J1528" s="26"/>
    </row>
    <row r="1529" ht="15" customHeight="1">
      <c r="A1529" s="27">
        <v>1523</v>
      </c>
      <c r="B1529" s="27"/>
      <c r="C1529" s="27"/>
      <c r="D1529" s="27"/>
      <c r="E1529" s="27"/>
      <c r="F1529" s="27"/>
      <c r="G1529" s="27"/>
      <c r="H1529" s="27"/>
      <c r="I1529" s="27"/>
      <c r="J1529" s="27"/>
    </row>
    <row r="1530" ht="15" customHeight="1">
      <c r="A1530" s="26">
        <v>1524</v>
      </c>
      <c r="B1530" s="26"/>
      <c r="C1530" s="26"/>
      <c r="D1530" s="26"/>
      <c r="E1530" s="26"/>
      <c r="F1530" s="26"/>
      <c r="G1530" s="26"/>
      <c r="H1530" s="26"/>
      <c r="I1530" s="26"/>
      <c r="J1530" s="26"/>
    </row>
    <row r="1531" ht="15" customHeight="1">
      <c r="A1531" s="27">
        <v>1525</v>
      </c>
      <c r="B1531" s="27"/>
      <c r="C1531" s="27"/>
      <c r="D1531" s="27"/>
      <c r="E1531" s="27"/>
      <c r="F1531" s="27"/>
      <c r="G1531" s="27"/>
      <c r="H1531" s="27"/>
      <c r="I1531" s="27"/>
      <c r="J1531" s="27"/>
    </row>
    <row r="1532" ht="15" customHeight="1">
      <c r="A1532" s="26">
        <v>1526</v>
      </c>
      <c r="B1532" s="26"/>
      <c r="C1532" s="26"/>
      <c r="D1532" s="26"/>
      <c r="E1532" s="26"/>
      <c r="F1532" s="26"/>
      <c r="G1532" s="26"/>
      <c r="H1532" s="26"/>
      <c r="I1532" s="26"/>
      <c r="J1532" s="26"/>
    </row>
    <row r="1533" ht="15" customHeight="1">
      <c r="A1533" s="27">
        <v>1527</v>
      </c>
      <c r="B1533" s="27"/>
      <c r="C1533" s="27"/>
      <c r="D1533" s="27"/>
      <c r="E1533" s="27"/>
      <c r="F1533" s="27"/>
      <c r="G1533" s="27"/>
      <c r="H1533" s="27"/>
      <c r="I1533" s="27"/>
      <c r="J1533" s="27"/>
    </row>
    <row r="1534" ht="15" customHeight="1">
      <c r="A1534" s="26">
        <v>1528</v>
      </c>
      <c r="B1534" s="26"/>
      <c r="C1534" s="26"/>
      <c r="D1534" s="26"/>
      <c r="E1534" s="26"/>
      <c r="F1534" s="26"/>
      <c r="G1534" s="26"/>
      <c r="H1534" s="26"/>
      <c r="I1534" s="26"/>
      <c r="J1534" s="26"/>
    </row>
    <row r="1535" ht="15" customHeight="1">
      <c r="A1535" s="27">
        <v>1529</v>
      </c>
      <c r="B1535" s="27"/>
      <c r="C1535" s="27"/>
      <c r="D1535" s="27"/>
      <c r="E1535" s="27"/>
      <c r="F1535" s="27"/>
      <c r="G1535" s="27"/>
      <c r="H1535" s="27"/>
      <c r="I1535" s="27"/>
      <c r="J1535" s="27"/>
    </row>
    <row r="1536" ht="15" customHeight="1">
      <c r="A1536" s="26">
        <v>1530</v>
      </c>
      <c r="B1536" s="26"/>
      <c r="C1536" s="26"/>
      <c r="D1536" s="26"/>
      <c r="E1536" s="26"/>
      <c r="F1536" s="26"/>
      <c r="G1536" s="26"/>
      <c r="H1536" s="26"/>
      <c r="I1536" s="26"/>
      <c r="J1536" s="26"/>
    </row>
    <row r="1537" ht="15" customHeight="1">
      <c r="A1537" s="27">
        <v>1531</v>
      </c>
      <c r="B1537" s="27"/>
      <c r="C1537" s="27"/>
      <c r="D1537" s="27"/>
      <c r="E1537" s="27"/>
      <c r="F1537" s="27"/>
      <c r="G1537" s="27"/>
      <c r="H1537" s="27"/>
      <c r="I1537" s="27"/>
      <c r="J1537" s="27"/>
    </row>
    <row r="1538" ht="15" customHeight="1">
      <c r="A1538" s="26">
        <v>1532</v>
      </c>
      <c r="B1538" s="26"/>
      <c r="C1538" s="26"/>
      <c r="D1538" s="26"/>
      <c r="E1538" s="26"/>
      <c r="F1538" s="26"/>
      <c r="G1538" s="26"/>
      <c r="H1538" s="26"/>
      <c r="I1538" s="26"/>
      <c r="J1538" s="26"/>
    </row>
    <row r="1539" ht="15" customHeight="1">
      <c r="A1539" s="27">
        <v>1533</v>
      </c>
      <c r="B1539" s="27"/>
      <c r="C1539" s="27"/>
      <c r="D1539" s="27"/>
      <c r="E1539" s="27"/>
      <c r="F1539" s="27"/>
      <c r="G1539" s="27"/>
      <c r="H1539" s="27"/>
      <c r="I1539" s="27"/>
      <c r="J1539" s="27"/>
    </row>
    <row r="1540" ht="15" customHeight="1">
      <c r="A1540" s="26">
        <v>1534</v>
      </c>
      <c r="B1540" s="26"/>
      <c r="C1540" s="26"/>
      <c r="D1540" s="26"/>
      <c r="E1540" s="26"/>
      <c r="F1540" s="26"/>
      <c r="G1540" s="26"/>
      <c r="H1540" s="26"/>
      <c r="I1540" s="26"/>
      <c r="J1540" s="26"/>
    </row>
    <row r="1541" ht="15" customHeight="1">
      <c r="A1541" s="27">
        <v>1535</v>
      </c>
      <c r="B1541" s="27"/>
      <c r="C1541" s="27"/>
      <c r="D1541" s="27"/>
      <c r="E1541" s="27"/>
      <c r="F1541" s="27"/>
      <c r="G1541" s="27"/>
      <c r="H1541" s="27"/>
      <c r="I1541" s="27"/>
      <c r="J1541" s="27"/>
    </row>
    <row r="1542" ht="15" customHeight="1">
      <c r="A1542" s="26">
        <v>1536</v>
      </c>
      <c r="B1542" s="26"/>
      <c r="C1542" s="26"/>
      <c r="D1542" s="26"/>
      <c r="E1542" s="26"/>
      <c r="F1542" s="26"/>
      <c r="G1542" s="26"/>
      <c r="H1542" s="26"/>
      <c r="I1542" s="26"/>
      <c r="J1542" s="26"/>
    </row>
    <row r="1543" ht="15" customHeight="1">
      <c r="A1543" s="27">
        <v>1537</v>
      </c>
      <c r="B1543" s="27"/>
      <c r="C1543" s="27"/>
      <c r="D1543" s="27"/>
      <c r="E1543" s="27"/>
      <c r="F1543" s="27"/>
      <c r="G1543" s="27"/>
      <c r="H1543" s="27"/>
      <c r="I1543" s="27"/>
      <c r="J1543" s="27"/>
    </row>
    <row r="1544" ht="15" customHeight="1">
      <c r="A1544" s="26">
        <v>1538</v>
      </c>
      <c r="B1544" s="26"/>
      <c r="C1544" s="26"/>
      <c r="D1544" s="26"/>
      <c r="E1544" s="26"/>
      <c r="F1544" s="26"/>
      <c r="G1544" s="26"/>
      <c r="H1544" s="26"/>
      <c r="I1544" s="26"/>
      <c r="J1544" s="26"/>
    </row>
    <row r="1545" ht="15" customHeight="1">
      <c r="A1545" s="27">
        <v>1539</v>
      </c>
      <c r="B1545" s="27"/>
      <c r="C1545" s="27"/>
      <c r="D1545" s="27"/>
      <c r="E1545" s="27"/>
      <c r="F1545" s="27"/>
      <c r="G1545" s="27"/>
      <c r="H1545" s="27"/>
      <c r="I1545" s="27"/>
      <c r="J1545" s="27"/>
    </row>
    <row r="1546" ht="15" customHeight="1">
      <c r="A1546" s="26">
        <v>1540</v>
      </c>
      <c r="B1546" s="26"/>
      <c r="C1546" s="26"/>
      <c r="D1546" s="26"/>
      <c r="E1546" s="26"/>
      <c r="F1546" s="26"/>
      <c r="G1546" s="26"/>
      <c r="H1546" s="26"/>
      <c r="I1546" s="26"/>
      <c r="J1546" s="26"/>
    </row>
    <row r="1547" ht="15" customHeight="1">
      <c r="A1547" s="27">
        <v>1541</v>
      </c>
      <c r="B1547" s="27"/>
      <c r="C1547" s="27"/>
      <c r="D1547" s="27"/>
      <c r="E1547" s="27"/>
      <c r="F1547" s="27"/>
      <c r="G1547" s="27"/>
      <c r="H1547" s="27"/>
      <c r="I1547" s="27"/>
      <c r="J1547" s="27"/>
    </row>
    <row r="1548" ht="15" customHeight="1">
      <c r="A1548" s="26">
        <v>1542</v>
      </c>
      <c r="B1548" s="26"/>
      <c r="C1548" s="26"/>
      <c r="D1548" s="26"/>
      <c r="E1548" s="26"/>
      <c r="F1548" s="26"/>
      <c r="G1548" s="26"/>
      <c r="H1548" s="26"/>
      <c r="I1548" s="26"/>
      <c r="J1548" s="26"/>
    </row>
    <row r="1549" ht="15" customHeight="1">
      <c r="A1549" s="27">
        <v>1543</v>
      </c>
      <c r="B1549" s="27"/>
      <c r="C1549" s="27"/>
      <c r="D1549" s="27"/>
      <c r="E1549" s="27"/>
      <c r="F1549" s="27"/>
      <c r="G1549" s="27"/>
      <c r="H1549" s="27"/>
      <c r="I1549" s="27"/>
      <c r="J1549" s="27"/>
    </row>
    <row r="1550" ht="15" customHeight="1">
      <c r="A1550" s="26">
        <v>1544</v>
      </c>
      <c r="B1550" s="26"/>
      <c r="C1550" s="26"/>
      <c r="D1550" s="26"/>
      <c r="E1550" s="26"/>
      <c r="F1550" s="26"/>
      <c r="G1550" s="26"/>
      <c r="H1550" s="26"/>
      <c r="I1550" s="26"/>
      <c r="J1550" s="26"/>
    </row>
    <row r="1551" ht="15" customHeight="1">
      <c r="A1551" s="27">
        <v>1545</v>
      </c>
      <c r="B1551" s="27"/>
      <c r="C1551" s="27"/>
      <c r="D1551" s="27"/>
      <c r="E1551" s="27"/>
      <c r="F1551" s="27"/>
      <c r="G1551" s="27"/>
      <c r="H1551" s="27"/>
      <c r="I1551" s="27"/>
      <c r="J1551" s="27"/>
    </row>
    <row r="1552" ht="15" customHeight="1">
      <c r="A1552" s="26">
        <v>1546</v>
      </c>
      <c r="B1552" s="26"/>
      <c r="C1552" s="26"/>
      <c r="D1552" s="26"/>
      <c r="E1552" s="26"/>
      <c r="F1552" s="26"/>
      <c r="G1552" s="26"/>
      <c r="H1552" s="26"/>
      <c r="I1552" s="26"/>
      <c r="J1552" s="26"/>
    </row>
    <row r="1553" ht="15" customHeight="1">
      <c r="A1553" s="27">
        <v>1547</v>
      </c>
      <c r="B1553" s="27"/>
      <c r="C1553" s="27"/>
      <c r="D1553" s="27"/>
      <c r="E1553" s="27"/>
      <c r="F1553" s="27"/>
      <c r="G1553" s="27"/>
      <c r="H1553" s="27"/>
      <c r="I1553" s="27"/>
      <c r="J1553" s="27"/>
    </row>
    <row r="1554" ht="15" customHeight="1">
      <c r="A1554" s="26">
        <v>1548</v>
      </c>
      <c r="B1554" s="26"/>
      <c r="C1554" s="26"/>
      <c r="D1554" s="26"/>
      <c r="E1554" s="26"/>
      <c r="F1554" s="26"/>
      <c r="G1554" s="26"/>
      <c r="H1554" s="26"/>
      <c r="I1554" s="26"/>
      <c r="J1554" s="26"/>
    </row>
    <row r="1555" ht="15" customHeight="1">
      <c r="A1555" s="27">
        <v>1549</v>
      </c>
      <c r="B1555" s="27"/>
      <c r="C1555" s="27"/>
      <c r="D1555" s="27"/>
      <c r="E1555" s="27"/>
      <c r="F1555" s="27"/>
      <c r="G1555" s="27"/>
      <c r="H1555" s="27"/>
      <c r="I1555" s="27"/>
      <c r="J1555" s="27"/>
    </row>
    <row r="1556" ht="15" customHeight="1">
      <c r="A1556" s="26">
        <v>1550</v>
      </c>
      <c r="B1556" s="26"/>
      <c r="C1556" s="26"/>
      <c r="D1556" s="26"/>
      <c r="E1556" s="26"/>
      <c r="F1556" s="26"/>
      <c r="G1556" s="26"/>
      <c r="H1556" s="26"/>
      <c r="I1556" s="26"/>
      <c r="J1556" s="26"/>
    </row>
    <row r="1557" ht="15" customHeight="1">
      <c r="A1557" s="27">
        <v>1551</v>
      </c>
      <c r="B1557" s="27"/>
      <c r="C1557" s="27"/>
      <c r="D1557" s="27"/>
      <c r="E1557" s="27"/>
      <c r="F1557" s="27"/>
      <c r="G1557" s="27"/>
      <c r="H1557" s="27"/>
      <c r="I1557" s="27"/>
      <c r="J1557" s="27"/>
    </row>
    <row r="1558" ht="15" customHeight="1">
      <c r="A1558" s="26">
        <v>1552</v>
      </c>
      <c r="B1558" s="26"/>
      <c r="C1558" s="26"/>
      <c r="D1558" s="26"/>
      <c r="E1558" s="26"/>
      <c r="F1558" s="26"/>
      <c r="G1558" s="26"/>
      <c r="H1558" s="26"/>
      <c r="I1558" s="26"/>
      <c r="J1558" s="26"/>
    </row>
    <row r="1559" ht="15" customHeight="1">
      <c r="A1559" s="27">
        <v>1553</v>
      </c>
      <c r="B1559" s="27"/>
      <c r="C1559" s="27"/>
      <c r="D1559" s="27"/>
      <c r="E1559" s="27"/>
      <c r="F1559" s="27"/>
      <c r="G1559" s="27"/>
      <c r="H1559" s="27"/>
      <c r="I1559" s="27"/>
      <c r="J1559" s="27"/>
    </row>
    <row r="1560" ht="15" customHeight="1">
      <c r="A1560" s="26">
        <v>1554</v>
      </c>
      <c r="B1560" s="26"/>
      <c r="C1560" s="26"/>
      <c r="D1560" s="26"/>
      <c r="E1560" s="26"/>
      <c r="F1560" s="26"/>
      <c r="G1560" s="26"/>
      <c r="H1560" s="26"/>
      <c r="I1560" s="26"/>
      <c r="J1560" s="26"/>
    </row>
    <row r="1561" ht="15" customHeight="1">
      <c r="A1561" s="27">
        <v>1555</v>
      </c>
      <c r="B1561" s="27"/>
      <c r="C1561" s="27"/>
      <c r="D1561" s="27"/>
      <c r="E1561" s="27"/>
      <c r="F1561" s="27"/>
      <c r="G1561" s="27"/>
      <c r="H1561" s="27"/>
      <c r="I1561" s="27"/>
      <c r="J1561" s="27"/>
    </row>
    <row r="1562" ht="15" customHeight="1">
      <c r="A1562" s="26">
        <v>1556</v>
      </c>
      <c r="B1562" s="26"/>
      <c r="C1562" s="26"/>
      <c r="D1562" s="26"/>
      <c r="E1562" s="26"/>
      <c r="F1562" s="26"/>
      <c r="G1562" s="26"/>
      <c r="H1562" s="26"/>
      <c r="I1562" s="26"/>
      <c r="J1562" s="26"/>
    </row>
    <row r="1563" ht="15" customHeight="1">
      <c r="A1563" s="27">
        <v>1557</v>
      </c>
      <c r="B1563" s="27"/>
      <c r="C1563" s="27"/>
      <c r="D1563" s="27"/>
      <c r="E1563" s="27"/>
      <c r="F1563" s="27"/>
      <c r="G1563" s="27"/>
      <c r="H1563" s="27"/>
      <c r="I1563" s="27"/>
      <c r="J1563" s="27"/>
    </row>
    <row r="1564" ht="15" customHeight="1">
      <c r="A1564" s="26">
        <v>1558</v>
      </c>
      <c r="B1564" s="26"/>
      <c r="C1564" s="26"/>
      <c r="D1564" s="26"/>
      <c r="E1564" s="26"/>
      <c r="F1564" s="26"/>
      <c r="G1564" s="26"/>
      <c r="H1564" s="26"/>
      <c r="I1564" s="26"/>
      <c r="J1564" s="26"/>
    </row>
    <row r="1565" ht="15" customHeight="1">
      <c r="A1565" s="27">
        <v>1559</v>
      </c>
      <c r="B1565" s="27"/>
      <c r="C1565" s="27"/>
      <c r="D1565" s="27"/>
      <c r="E1565" s="27"/>
      <c r="F1565" s="27"/>
      <c r="G1565" s="27"/>
      <c r="H1565" s="27"/>
      <c r="I1565" s="27"/>
      <c r="J1565" s="27"/>
    </row>
    <row r="1566" ht="15" customHeight="1">
      <c r="A1566" s="26">
        <v>1560</v>
      </c>
      <c r="B1566" s="26"/>
      <c r="C1566" s="26"/>
      <c r="D1566" s="26"/>
      <c r="E1566" s="26"/>
      <c r="F1566" s="26"/>
      <c r="G1566" s="26"/>
      <c r="H1566" s="26"/>
      <c r="I1566" s="26"/>
      <c r="J1566" s="26"/>
    </row>
    <row r="1567" ht="15" customHeight="1">
      <c r="A1567" s="27">
        <v>1561</v>
      </c>
      <c r="B1567" s="27"/>
      <c r="C1567" s="27"/>
      <c r="D1567" s="27"/>
      <c r="E1567" s="27"/>
      <c r="F1567" s="27"/>
      <c r="G1567" s="27"/>
      <c r="H1567" s="27"/>
      <c r="I1567" s="27"/>
      <c r="J1567" s="27"/>
    </row>
    <row r="1568" ht="15" customHeight="1">
      <c r="A1568" s="26">
        <v>1562</v>
      </c>
      <c r="B1568" s="26"/>
      <c r="C1568" s="26"/>
      <c r="D1568" s="26"/>
      <c r="E1568" s="26"/>
      <c r="F1568" s="26"/>
      <c r="G1568" s="26"/>
      <c r="H1568" s="26"/>
      <c r="I1568" s="26"/>
      <c r="J1568" s="26"/>
    </row>
    <row r="1569" ht="15" customHeight="1">
      <c r="A1569" s="27">
        <v>1563</v>
      </c>
      <c r="B1569" s="27"/>
      <c r="C1569" s="27"/>
      <c r="D1569" s="27"/>
      <c r="E1569" s="27"/>
      <c r="F1569" s="27"/>
      <c r="G1569" s="27"/>
      <c r="H1569" s="27"/>
      <c r="I1569" s="27"/>
      <c r="J1569" s="27"/>
    </row>
    <row r="1570" ht="15" customHeight="1">
      <c r="A1570" s="26">
        <v>1564</v>
      </c>
      <c r="B1570" s="26"/>
      <c r="C1570" s="26"/>
      <c r="D1570" s="26"/>
      <c r="E1570" s="26"/>
      <c r="F1570" s="26"/>
      <c r="G1570" s="26"/>
      <c r="H1570" s="26"/>
      <c r="I1570" s="26"/>
      <c r="J1570" s="26"/>
    </row>
    <row r="1571" ht="15" customHeight="1">
      <c r="A1571" s="27">
        <v>1565</v>
      </c>
      <c r="B1571" s="27"/>
      <c r="C1571" s="27"/>
      <c r="D1571" s="27"/>
      <c r="E1571" s="27"/>
      <c r="F1571" s="27"/>
      <c r="G1571" s="27"/>
      <c r="H1571" s="27"/>
      <c r="I1571" s="27"/>
      <c r="J1571" s="27"/>
    </row>
    <row r="1572" ht="15" customHeight="1">
      <c r="A1572" s="26">
        <v>1566</v>
      </c>
      <c r="B1572" s="26"/>
      <c r="C1572" s="26"/>
      <c r="D1572" s="26"/>
      <c r="E1572" s="26"/>
      <c r="F1572" s="26"/>
      <c r="G1572" s="26"/>
      <c r="H1572" s="26"/>
      <c r="I1572" s="26"/>
      <c r="J1572" s="26"/>
    </row>
    <row r="1573" ht="15" customHeight="1">
      <c r="A1573" s="27">
        <v>1567</v>
      </c>
      <c r="B1573" s="27"/>
      <c r="C1573" s="27"/>
      <c r="D1573" s="27"/>
      <c r="E1573" s="27"/>
      <c r="F1573" s="27"/>
      <c r="G1573" s="27"/>
      <c r="H1573" s="27"/>
      <c r="I1573" s="27"/>
      <c r="J1573" s="27"/>
    </row>
    <row r="1574" ht="15" customHeight="1">
      <c r="A1574" s="26">
        <v>1568</v>
      </c>
      <c r="B1574" s="26"/>
      <c r="C1574" s="26"/>
      <c r="D1574" s="26"/>
      <c r="E1574" s="26"/>
      <c r="F1574" s="26"/>
      <c r="G1574" s="26"/>
      <c r="H1574" s="26"/>
      <c r="I1574" s="26"/>
      <c r="J1574" s="26"/>
    </row>
    <row r="1575" ht="15" customHeight="1">
      <c r="A1575" s="27">
        <v>1569</v>
      </c>
      <c r="B1575" s="27"/>
      <c r="C1575" s="27"/>
      <c r="D1575" s="27"/>
      <c r="E1575" s="27"/>
      <c r="F1575" s="27"/>
      <c r="G1575" s="27"/>
      <c r="H1575" s="27"/>
      <c r="I1575" s="27"/>
      <c r="J1575" s="27"/>
    </row>
    <row r="1576" ht="15" customHeight="1">
      <c r="A1576" s="26">
        <v>1570</v>
      </c>
      <c r="B1576" s="26"/>
      <c r="C1576" s="26"/>
      <c r="D1576" s="26"/>
      <c r="E1576" s="26"/>
      <c r="F1576" s="26"/>
      <c r="G1576" s="26"/>
      <c r="H1576" s="26"/>
      <c r="I1576" s="26"/>
      <c r="J1576" s="26"/>
    </row>
    <row r="1577" ht="15" customHeight="1">
      <c r="A1577" s="27">
        <v>1571</v>
      </c>
      <c r="B1577" s="27"/>
      <c r="C1577" s="27"/>
      <c r="D1577" s="27"/>
      <c r="E1577" s="27"/>
      <c r="F1577" s="27"/>
      <c r="G1577" s="27"/>
      <c r="H1577" s="27"/>
      <c r="I1577" s="27"/>
      <c r="J1577" s="27"/>
    </row>
    <row r="1578" ht="15" customHeight="1">
      <c r="A1578" s="26">
        <v>1572</v>
      </c>
      <c r="B1578" s="26"/>
      <c r="C1578" s="26"/>
      <c r="D1578" s="26"/>
      <c r="E1578" s="26"/>
      <c r="F1578" s="26"/>
      <c r="G1578" s="26"/>
      <c r="H1578" s="26"/>
      <c r="I1578" s="26"/>
      <c r="J1578" s="26"/>
    </row>
    <row r="1579" ht="15" customHeight="1">
      <c r="A1579" s="27">
        <v>1573</v>
      </c>
      <c r="B1579" s="27"/>
      <c r="C1579" s="27"/>
      <c r="D1579" s="27"/>
      <c r="E1579" s="27"/>
      <c r="F1579" s="27"/>
      <c r="G1579" s="27"/>
      <c r="H1579" s="27"/>
      <c r="I1579" s="27"/>
      <c r="J1579" s="27"/>
    </row>
    <row r="1580" ht="15" customHeight="1">
      <c r="A1580" s="26">
        <v>1574</v>
      </c>
      <c r="B1580" s="26"/>
      <c r="C1580" s="26"/>
      <c r="D1580" s="26"/>
      <c r="E1580" s="26"/>
      <c r="F1580" s="26"/>
      <c r="G1580" s="26"/>
      <c r="H1580" s="26"/>
      <c r="I1580" s="26"/>
      <c r="J1580" s="26"/>
    </row>
    <row r="1581" ht="15" customHeight="1">
      <c r="A1581" s="27">
        <v>1575</v>
      </c>
      <c r="B1581" s="27"/>
      <c r="C1581" s="27"/>
      <c r="D1581" s="27"/>
      <c r="E1581" s="27"/>
      <c r="F1581" s="27"/>
      <c r="G1581" s="27"/>
      <c r="H1581" s="27"/>
      <c r="I1581" s="27"/>
      <c r="J1581" s="27"/>
    </row>
    <row r="1582" ht="15" customHeight="1">
      <c r="A1582" s="26">
        <v>1576</v>
      </c>
      <c r="B1582" s="26"/>
      <c r="C1582" s="26"/>
      <c r="D1582" s="26"/>
      <c r="E1582" s="26"/>
      <c r="F1582" s="26"/>
      <c r="G1582" s="26"/>
      <c r="H1582" s="26"/>
      <c r="I1582" s="26"/>
      <c r="J1582" s="26"/>
    </row>
    <row r="1583" ht="15" customHeight="1">
      <c r="A1583" s="27">
        <v>1577</v>
      </c>
      <c r="B1583" s="27"/>
      <c r="C1583" s="27"/>
      <c r="D1583" s="27"/>
      <c r="E1583" s="27"/>
      <c r="F1583" s="27"/>
      <c r="G1583" s="27"/>
      <c r="H1583" s="27"/>
      <c r="I1583" s="27"/>
      <c r="J1583" s="27"/>
    </row>
    <row r="1584" ht="15" customHeight="1">
      <c r="A1584" s="26">
        <v>1578</v>
      </c>
      <c r="B1584" s="26"/>
      <c r="C1584" s="26"/>
      <c r="D1584" s="26"/>
      <c r="E1584" s="26"/>
      <c r="F1584" s="26"/>
      <c r="G1584" s="26"/>
      <c r="H1584" s="26"/>
      <c r="I1584" s="26"/>
      <c r="J1584" s="26"/>
    </row>
    <row r="1585" ht="15" customHeight="1">
      <c r="A1585" s="27">
        <v>1579</v>
      </c>
      <c r="B1585" s="27"/>
      <c r="C1585" s="27"/>
      <c r="D1585" s="27"/>
      <c r="E1585" s="27"/>
      <c r="F1585" s="27"/>
      <c r="G1585" s="27"/>
      <c r="H1585" s="27"/>
      <c r="I1585" s="27"/>
      <c r="J1585" s="27"/>
    </row>
    <row r="1586" ht="15" customHeight="1">
      <c r="A1586" s="26">
        <v>1580</v>
      </c>
      <c r="B1586" s="26"/>
      <c r="C1586" s="26"/>
      <c r="D1586" s="26"/>
      <c r="E1586" s="26"/>
      <c r="F1586" s="26"/>
      <c r="G1586" s="26"/>
      <c r="H1586" s="26"/>
      <c r="I1586" s="26"/>
      <c r="J1586" s="26"/>
    </row>
    <row r="1587" ht="15" customHeight="1">
      <c r="A1587" s="27">
        <v>1581</v>
      </c>
      <c r="B1587" s="27"/>
      <c r="C1587" s="27"/>
      <c r="D1587" s="27"/>
      <c r="E1587" s="27"/>
      <c r="F1587" s="27"/>
      <c r="G1587" s="27"/>
      <c r="H1587" s="27"/>
      <c r="I1587" s="27"/>
      <c r="J1587" s="27"/>
    </row>
    <row r="1588" ht="15" customHeight="1">
      <c r="A1588" s="26">
        <v>1582</v>
      </c>
      <c r="B1588" s="26"/>
      <c r="C1588" s="26"/>
      <c r="D1588" s="26"/>
      <c r="E1588" s="26"/>
      <c r="F1588" s="26"/>
      <c r="G1588" s="26"/>
      <c r="H1588" s="26"/>
      <c r="I1588" s="26"/>
      <c r="J1588" s="26"/>
    </row>
    <row r="1589" ht="15" customHeight="1">
      <c r="A1589" s="27">
        <v>1583</v>
      </c>
      <c r="B1589" s="27"/>
      <c r="C1589" s="27"/>
      <c r="D1589" s="27"/>
      <c r="E1589" s="27"/>
      <c r="F1589" s="27"/>
      <c r="G1589" s="27"/>
      <c r="H1589" s="27"/>
      <c r="I1589" s="27"/>
      <c r="J1589" s="27"/>
    </row>
    <row r="1590" ht="15" customHeight="1">
      <c r="A1590" s="26">
        <v>1584</v>
      </c>
      <c r="B1590" s="26"/>
      <c r="C1590" s="26"/>
      <c r="D1590" s="26"/>
      <c r="E1590" s="26"/>
      <c r="F1590" s="26"/>
      <c r="G1590" s="26"/>
      <c r="H1590" s="26"/>
      <c r="I1590" s="26"/>
      <c r="J1590" s="26"/>
    </row>
    <row r="1591" ht="15" customHeight="1">
      <c r="A1591" s="27">
        <v>1585</v>
      </c>
      <c r="B1591" s="27"/>
      <c r="C1591" s="27"/>
      <c r="D1591" s="27"/>
      <c r="E1591" s="27"/>
      <c r="F1591" s="27"/>
      <c r="G1591" s="27"/>
      <c r="H1591" s="27"/>
      <c r="I1591" s="27"/>
      <c r="J1591" s="27"/>
    </row>
    <row r="1592" ht="15" customHeight="1">
      <c r="A1592" s="26">
        <v>1586</v>
      </c>
      <c r="B1592" s="26"/>
      <c r="C1592" s="26"/>
      <c r="D1592" s="26"/>
      <c r="E1592" s="26"/>
      <c r="F1592" s="26"/>
      <c r="G1592" s="26"/>
      <c r="H1592" s="26"/>
      <c r="I1592" s="26"/>
      <c r="J1592" s="26"/>
    </row>
    <row r="1593" ht="15" customHeight="1">
      <c r="A1593" s="27">
        <v>1587</v>
      </c>
      <c r="B1593" s="27"/>
      <c r="C1593" s="27"/>
      <c r="D1593" s="27"/>
      <c r="E1593" s="27"/>
      <c r="F1593" s="27"/>
      <c r="G1593" s="27"/>
      <c r="H1593" s="27"/>
      <c r="I1593" s="27"/>
      <c r="J1593" s="27"/>
    </row>
    <row r="1594" ht="15" customHeight="1">
      <c r="A1594" s="26">
        <v>1588</v>
      </c>
      <c r="B1594" s="26"/>
      <c r="C1594" s="26"/>
      <c r="D1594" s="26"/>
      <c r="E1594" s="26"/>
      <c r="F1594" s="26"/>
      <c r="G1594" s="26"/>
      <c r="H1594" s="26"/>
      <c r="I1594" s="26"/>
      <c r="J1594" s="26"/>
    </row>
    <row r="1595" ht="15" customHeight="1">
      <c r="A1595" s="27">
        <v>1589</v>
      </c>
      <c r="B1595" s="27"/>
      <c r="C1595" s="27"/>
      <c r="D1595" s="27"/>
      <c r="E1595" s="27"/>
      <c r="F1595" s="27"/>
      <c r="G1595" s="27"/>
      <c r="H1595" s="27"/>
      <c r="I1595" s="27"/>
      <c r="J1595" s="27"/>
    </row>
    <row r="1596" ht="15" customHeight="1">
      <c r="A1596" s="26">
        <v>1590</v>
      </c>
      <c r="B1596" s="26"/>
      <c r="C1596" s="26"/>
      <c r="D1596" s="26"/>
      <c r="E1596" s="26"/>
      <c r="F1596" s="26"/>
      <c r="G1596" s="26"/>
      <c r="H1596" s="26"/>
      <c r="I1596" s="26"/>
      <c r="J1596" s="26"/>
    </row>
    <row r="1597" ht="15" customHeight="1">
      <c r="A1597" s="27">
        <v>1591</v>
      </c>
      <c r="B1597" s="27"/>
      <c r="C1597" s="27"/>
      <c r="D1597" s="27"/>
      <c r="E1597" s="27"/>
      <c r="F1597" s="27"/>
      <c r="G1597" s="27"/>
      <c r="H1597" s="27"/>
      <c r="I1597" s="27"/>
      <c r="J1597" s="27"/>
    </row>
    <row r="1598" ht="15" customHeight="1">
      <c r="A1598" s="26">
        <v>1592</v>
      </c>
      <c r="B1598" s="26"/>
      <c r="C1598" s="26"/>
      <c r="D1598" s="26"/>
      <c r="E1598" s="26"/>
      <c r="F1598" s="26"/>
      <c r="G1598" s="26"/>
      <c r="H1598" s="26"/>
      <c r="I1598" s="26"/>
      <c r="J1598" s="26"/>
    </row>
    <row r="1599" ht="15" customHeight="1">
      <c r="A1599" s="27">
        <v>1593</v>
      </c>
      <c r="B1599" s="27"/>
      <c r="C1599" s="27"/>
      <c r="D1599" s="27"/>
      <c r="E1599" s="27"/>
      <c r="F1599" s="27"/>
      <c r="G1599" s="27"/>
      <c r="H1599" s="27"/>
      <c r="I1599" s="27"/>
      <c r="J1599" s="27"/>
    </row>
    <row r="1600" ht="15" customHeight="1">
      <c r="A1600" s="26">
        <v>1594</v>
      </c>
      <c r="B1600" s="26"/>
      <c r="C1600" s="26"/>
      <c r="D1600" s="26"/>
      <c r="E1600" s="26"/>
      <c r="F1600" s="26"/>
      <c r="G1600" s="26"/>
      <c r="H1600" s="26"/>
      <c r="I1600" s="26"/>
      <c r="J1600" s="26"/>
    </row>
    <row r="1601" ht="15" customHeight="1">
      <c r="A1601" s="27">
        <v>1595</v>
      </c>
      <c r="B1601" s="27"/>
      <c r="C1601" s="27"/>
      <c r="D1601" s="27"/>
      <c r="E1601" s="27"/>
      <c r="F1601" s="27"/>
      <c r="G1601" s="27"/>
      <c r="H1601" s="27"/>
      <c r="I1601" s="27"/>
      <c r="J1601" s="27"/>
    </row>
    <row r="1602" ht="15" customHeight="1">
      <c r="A1602" s="26">
        <v>1596</v>
      </c>
      <c r="B1602" s="26"/>
      <c r="C1602" s="26"/>
      <c r="D1602" s="26"/>
      <c r="E1602" s="26"/>
      <c r="F1602" s="26"/>
      <c r="G1602" s="26"/>
      <c r="H1602" s="26"/>
      <c r="I1602" s="26"/>
      <c r="J1602" s="26"/>
    </row>
    <row r="1603" ht="15" customHeight="1">
      <c r="A1603" s="27">
        <v>1597</v>
      </c>
      <c r="B1603" s="27"/>
      <c r="C1603" s="27"/>
      <c r="D1603" s="27"/>
      <c r="E1603" s="27"/>
      <c r="F1603" s="27"/>
      <c r="G1603" s="27"/>
      <c r="H1603" s="27"/>
      <c r="I1603" s="27"/>
      <c r="J1603" s="27"/>
    </row>
    <row r="1604" ht="15" customHeight="1">
      <c r="A1604" s="26">
        <v>1598</v>
      </c>
      <c r="B1604" s="26"/>
      <c r="C1604" s="26"/>
      <c r="D1604" s="26"/>
      <c r="E1604" s="26"/>
      <c r="F1604" s="26"/>
      <c r="G1604" s="26"/>
      <c r="H1604" s="26"/>
      <c r="I1604" s="26"/>
      <c r="J1604" s="26"/>
    </row>
    <row r="1605" ht="15" customHeight="1">
      <c r="A1605" s="27">
        <v>1599</v>
      </c>
      <c r="B1605" s="27"/>
      <c r="C1605" s="27"/>
      <c r="D1605" s="27"/>
      <c r="E1605" s="27"/>
      <c r="F1605" s="27"/>
      <c r="G1605" s="27"/>
      <c r="H1605" s="27"/>
      <c r="I1605" s="27"/>
      <c r="J1605" s="27"/>
    </row>
    <row r="1606" ht="15" customHeight="1">
      <c r="A1606" s="26">
        <v>1600</v>
      </c>
      <c r="B1606" s="26"/>
      <c r="C1606" s="26"/>
      <c r="D1606" s="26"/>
      <c r="E1606" s="26"/>
      <c r="F1606" s="26"/>
      <c r="G1606" s="26"/>
      <c r="H1606" s="26"/>
      <c r="I1606" s="26"/>
      <c r="J1606" s="26"/>
    </row>
    <row r="1607" ht="15" customHeight="1">
      <c r="A1607" s="27">
        <v>1601</v>
      </c>
      <c r="B1607" s="27"/>
      <c r="C1607" s="27"/>
      <c r="D1607" s="27"/>
      <c r="E1607" s="27"/>
      <c r="F1607" s="27"/>
      <c r="G1607" s="27"/>
      <c r="H1607" s="27"/>
      <c r="I1607" s="27"/>
      <c r="J1607" s="27"/>
    </row>
    <row r="1608" ht="15" customHeight="1">
      <c r="A1608" s="26">
        <v>1602</v>
      </c>
      <c r="B1608" s="26"/>
      <c r="C1608" s="26"/>
      <c r="D1608" s="26"/>
      <c r="E1608" s="26"/>
      <c r="F1608" s="26"/>
      <c r="G1608" s="26"/>
      <c r="H1608" s="26"/>
      <c r="I1608" s="26"/>
      <c r="J1608" s="26"/>
    </row>
    <row r="1609" ht="15" customHeight="1">
      <c r="A1609" s="27">
        <v>1603</v>
      </c>
      <c r="B1609" s="27"/>
      <c r="C1609" s="27"/>
      <c r="D1609" s="27"/>
      <c r="E1609" s="27"/>
      <c r="F1609" s="27"/>
      <c r="G1609" s="27"/>
      <c r="H1609" s="27"/>
      <c r="I1609" s="27"/>
      <c r="J1609" s="27"/>
    </row>
    <row r="1610" ht="15" customHeight="1">
      <c r="A1610" s="26">
        <v>1604</v>
      </c>
      <c r="B1610" s="26"/>
      <c r="C1610" s="26"/>
      <c r="D1610" s="26"/>
      <c r="E1610" s="26"/>
      <c r="F1610" s="26"/>
      <c r="G1610" s="26"/>
      <c r="H1610" s="26"/>
      <c r="I1610" s="26"/>
      <c r="J1610" s="26"/>
    </row>
    <row r="1611" ht="15" customHeight="1">
      <c r="A1611" s="27">
        <v>1605</v>
      </c>
      <c r="B1611" s="27"/>
      <c r="C1611" s="27"/>
      <c r="D1611" s="27"/>
      <c r="E1611" s="27"/>
      <c r="F1611" s="27"/>
      <c r="G1611" s="27"/>
      <c r="H1611" s="27"/>
      <c r="I1611" s="27"/>
      <c r="J1611" s="27"/>
    </row>
    <row r="1612" ht="15" customHeight="1">
      <c r="A1612" s="26">
        <v>1606</v>
      </c>
      <c r="B1612" s="26"/>
      <c r="C1612" s="26"/>
      <c r="D1612" s="26"/>
      <c r="E1612" s="26"/>
      <c r="F1612" s="26"/>
      <c r="G1612" s="26"/>
      <c r="H1612" s="26"/>
      <c r="I1612" s="26"/>
      <c r="J1612" s="26"/>
    </row>
    <row r="1613" ht="15" customHeight="1">
      <c r="A1613" s="27">
        <v>1607</v>
      </c>
      <c r="B1613" s="27"/>
      <c r="C1613" s="27"/>
      <c r="D1613" s="27"/>
      <c r="E1613" s="27"/>
      <c r="F1613" s="27"/>
      <c r="G1613" s="27"/>
      <c r="H1613" s="27"/>
      <c r="I1613" s="27"/>
      <c r="J1613" s="27"/>
    </row>
    <row r="1614" ht="15" customHeight="1">
      <c r="A1614" s="26">
        <v>1608</v>
      </c>
      <c r="B1614" s="26"/>
      <c r="C1614" s="26"/>
      <c r="D1614" s="26"/>
      <c r="E1614" s="26"/>
      <c r="F1614" s="26"/>
      <c r="G1614" s="26"/>
      <c r="H1614" s="26"/>
      <c r="I1614" s="26"/>
      <c r="J1614" s="26"/>
    </row>
    <row r="1615" ht="15" customHeight="1">
      <c r="A1615" s="27">
        <v>1609</v>
      </c>
      <c r="B1615" s="27"/>
      <c r="C1615" s="27"/>
      <c r="D1615" s="27"/>
      <c r="E1615" s="27"/>
      <c r="F1615" s="27"/>
      <c r="G1615" s="27"/>
      <c r="H1615" s="27"/>
      <c r="I1615" s="27"/>
      <c r="J1615" s="27"/>
    </row>
    <row r="1616" ht="15" customHeight="1">
      <c r="A1616" s="26">
        <v>1610</v>
      </c>
      <c r="B1616" s="26"/>
      <c r="C1616" s="26"/>
      <c r="D1616" s="26"/>
      <c r="E1616" s="26"/>
      <c r="F1616" s="26"/>
      <c r="G1616" s="26"/>
      <c r="H1616" s="26"/>
      <c r="I1616" s="26"/>
      <c r="J1616" s="26"/>
    </row>
    <row r="1617" ht="15" customHeight="1">
      <c r="A1617" s="27">
        <v>1611</v>
      </c>
      <c r="B1617" s="27"/>
      <c r="C1617" s="27"/>
      <c r="D1617" s="27"/>
      <c r="E1617" s="27"/>
      <c r="F1617" s="27"/>
      <c r="G1617" s="27"/>
      <c r="H1617" s="27"/>
      <c r="I1617" s="27"/>
      <c r="J1617" s="27"/>
    </row>
    <row r="1618" ht="15" customHeight="1">
      <c r="A1618" s="26">
        <v>1612</v>
      </c>
      <c r="B1618" s="26"/>
      <c r="C1618" s="26"/>
      <c r="D1618" s="26"/>
      <c r="E1618" s="26"/>
      <c r="F1618" s="26"/>
      <c r="G1618" s="26"/>
      <c r="H1618" s="26"/>
      <c r="I1618" s="26"/>
      <c r="J1618" s="26"/>
    </row>
    <row r="1619" ht="15" customHeight="1">
      <c r="A1619" s="27">
        <v>1613</v>
      </c>
      <c r="B1619" s="27"/>
      <c r="C1619" s="27"/>
      <c r="D1619" s="27"/>
      <c r="E1619" s="27"/>
      <c r="F1619" s="27"/>
      <c r="G1619" s="27"/>
      <c r="H1619" s="27"/>
      <c r="I1619" s="27"/>
      <c r="J1619" s="27"/>
    </row>
    <row r="1620" ht="15" customHeight="1">
      <c r="A1620" s="26">
        <v>1614</v>
      </c>
      <c r="B1620" s="26"/>
      <c r="C1620" s="26"/>
      <c r="D1620" s="26"/>
      <c r="E1620" s="26"/>
      <c r="F1620" s="26"/>
      <c r="G1620" s="26"/>
      <c r="H1620" s="26"/>
      <c r="I1620" s="26"/>
      <c r="J1620" s="26"/>
    </row>
    <row r="1621" ht="15" customHeight="1">
      <c r="A1621" s="27">
        <v>1615</v>
      </c>
      <c r="B1621" s="27"/>
      <c r="C1621" s="27"/>
      <c r="D1621" s="27"/>
      <c r="E1621" s="27"/>
      <c r="F1621" s="27"/>
      <c r="G1621" s="27"/>
      <c r="H1621" s="27"/>
      <c r="I1621" s="27"/>
      <c r="J1621" s="27"/>
    </row>
    <row r="1622" ht="15" customHeight="1">
      <c r="A1622" s="26">
        <v>1616</v>
      </c>
      <c r="B1622" s="26"/>
      <c r="C1622" s="26"/>
      <c r="D1622" s="26"/>
      <c r="E1622" s="26"/>
      <c r="F1622" s="26"/>
      <c r="G1622" s="26"/>
      <c r="H1622" s="26"/>
      <c r="I1622" s="26"/>
      <c r="J1622" s="26"/>
    </row>
    <row r="1623" ht="15" customHeight="1">
      <c r="A1623" s="27">
        <v>1617</v>
      </c>
      <c r="B1623" s="27"/>
      <c r="C1623" s="27"/>
      <c r="D1623" s="27"/>
      <c r="E1623" s="27"/>
      <c r="F1623" s="27"/>
      <c r="G1623" s="27"/>
      <c r="H1623" s="27"/>
      <c r="I1623" s="27"/>
      <c r="J1623" s="27"/>
    </row>
    <row r="1624" ht="15" customHeight="1">
      <c r="A1624" s="26">
        <v>1618</v>
      </c>
      <c r="B1624" s="26"/>
      <c r="C1624" s="26"/>
      <c r="D1624" s="26"/>
      <c r="E1624" s="26"/>
      <c r="F1624" s="26"/>
      <c r="G1624" s="26"/>
      <c r="H1624" s="26"/>
      <c r="I1624" s="26"/>
      <c r="J1624" s="26"/>
    </row>
    <row r="1625" ht="15" customHeight="1">
      <c r="A1625" s="27">
        <v>1619</v>
      </c>
      <c r="B1625" s="27"/>
      <c r="C1625" s="27"/>
      <c r="D1625" s="27"/>
      <c r="E1625" s="27"/>
      <c r="F1625" s="27"/>
      <c r="G1625" s="27"/>
      <c r="H1625" s="27"/>
      <c r="I1625" s="27"/>
      <c r="J1625" s="27"/>
    </row>
    <row r="1626" ht="15" customHeight="1">
      <c r="A1626" s="26">
        <v>1620</v>
      </c>
      <c r="B1626" s="26"/>
      <c r="C1626" s="26"/>
      <c r="D1626" s="26"/>
      <c r="E1626" s="26"/>
      <c r="F1626" s="26"/>
      <c r="G1626" s="26"/>
      <c r="H1626" s="26"/>
      <c r="I1626" s="26"/>
      <c r="J1626" s="26"/>
    </row>
    <row r="1627" ht="15" customHeight="1">
      <c r="A1627" s="27">
        <v>1621</v>
      </c>
      <c r="B1627" s="27"/>
      <c r="C1627" s="27"/>
      <c r="D1627" s="27"/>
      <c r="E1627" s="27"/>
      <c r="F1627" s="27"/>
      <c r="G1627" s="27"/>
      <c r="H1627" s="27"/>
      <c r="I1627" s="27"/>
      <c r="J1627" s="27"/>
    </row>
    <row r="1628" ht="15" customHeight="1">
      <c r="A1628" s="26">
        <v>1622</v>
      </c>
      <c r="B1628" s="26"/>
      <c r="C1628" s="26"/>
      <c r="D1628" s="26"/>
      <c r="E1628" s="26"/>
      <c r="F1628" s="26"/>
      <c r="G1628" s="26"/>
      <c r="H1628" s="26"/>
      <c r="I1628" s="26"/>
      <c r="J1628" s="26"/>
    </row>
    <row r="1629" ht="15" customHeight="1">
      <c r="A1629" s="27">
        <v>1623</v>
      </c>
      <c r="B1629" s="27"/>
      <c r="C1629" s="27"/>
      <c r="D1629" s="27"/>
      <c r="E1629" s="27"/>
      <c r="F1629" s="27"/>
      <c r="G1629" s="27"/>
      <c r="H1629" s="27"/>
      <c r="I1629" s="27"/>
      <c r="J1629" s="27"/>
    </row>
    <row r="1630" ht="15" customHeight="1">
      <c r="A1630" s="26">
        <v>1624</v>
      </c>
      <c r="B1630" s="26"/>
      <c r="C1630" s="26"/>
      <c r="D1630" s="26"/>
      <c r="E1630" s="26"/>
      <c r="F1630" s="26"/>
      <c r="G1630" s="26"/>
      <c r="H1630" s="26"/>
      <c r="I1630" s="26"/>
      <c r="J1630" s="26"/>
    </row>
    <row r="1631" ht="15" customHeight="1">
      <c r="A1631" s="27">
        <v>1625</v>
      </c>
      <c r="B1631" s="27"/>
      <c r="C1631" s="27"/>
      <c r="D1631" s="27"/>
      <c r="E1631" s="27"/>
      <c r="F1631" s="27"/>
      <c r="G1631" s="27"/>
      <c r="H1631" s="27"/>
      <c r="I1631" s="27"/>
      <c r="J1631" s="27"/>
    </row>
    <row r="1632" ht="15" customHeight="1">
      <c r="A1632" s="26">
        <v>1626</v>
      </c>
      <c r="B1632" s="26"/>
      <c r="C1632" s="26"/>
      <c r="D1632" s="26"/>
      <c r="E1632" s="26"/>
      <c r="F1632" s="26"/>
      <c r="G1632" s="26"/>
      <c r="H1632" s="26"/>
      <c r="I1632" s="26"/>
      <c r="J1632" s="26"/>
    </row>
    <row r="1633" ht="15" customHeight="1">
      <c r="A1633" s="27">
        <v>1627</v>
      </c>
      <c r="B1633" s="27"/>
      <c r="C1633" s="27"/>
      <c r="D1633" s="27"/>
      <c r="E1633" s="27"/>
      <c r="F1633" s="27"/>
      <c r="G1633" s="27"/>
      <c r="H1633" s="27"/>
      <c r="I1633" s="27"/>
      <c r="J1633" s="27"/>
    </row>
    <row r="1634" ht="15" customHeight="1">
      <c r="A1634" s="26">
        <v>1628</v>
      </c>
      <c r="B1634" s="26"/>
      <c r="C1634" s="26"/>
      <c r="D1634" s="26"/>
      <c r="E1634" s="26"/>
      <c r="F1634" s="26"/>
      <c r="G1634" s="26"/>
      <c r="H1634" s="26"/>
      <c r="I1634" s="26"/>
      <c r="J1634" s="26"/>
    </row>
    <row r="1635" ht="15" customHeight="1">
      <c r="A1635" s="27">
        <v>1629</v>
      </c>
      <c r="B1635" s="27"/>
      <c r="C1635" s="27"/>
      <c r="D1635" s="27"/>
      <c r="E1635" s="27"/>
      <c r="F1635" s="27"/>
      <c r="G1635" s="27"/>
      <c r="H1635" s="27"/>
      <c r="I1635" s="27"/>
      <c r="J1635" s="27"/>
    </row>
    <row r="1636" ht="15" customHeight="1">
      <c r="A1636" s="26">
        <v>1630</v>
      </c>
      <c r="B1636" s="26"/>
      <c r="C1636" s="26"/>
      <c r="D1636" s="26"/>
      <c r="E1636" s="26"/>
      <c r="F1636" s="26"/>
      <c r="G1636" s="26"/>
      <c r="H1636" s="26"/>
      <c r="I1636" s="26"/>
      <c r="J1636" s="26"/>
    </row>
    <row r="1637" ht="15" customHeight="1">
      <c r="A1637" s="27">
        <v>1631</v>
      </c>
      <c r="B1637" s="27"/>
      <c r="C1637" s="27"/>
      <c r="D1637" s="27"/>
      <c r="E1637" s="27"/>
      <c r="F1637" s="27"/>
      <c r="G1637" s="27"/>
      <c r="H1637" s="27"/>
      <c r="I1637" s="27"/>
      <c r="J1637" s="27"/>
    </row>
    <row r="1638" ht="15" customHeight="1">
      <c r="A1638" s="26">
        <v>1632</v>
      </c>
      <c r="B1638" s="26"/>
      <c r="C1638" s="26"/>
      <c r="D1638" s="26"/>
      <c r="E1638" s="26"/>
      <c r="F1638" s="26"/>
      <c r="G1638" s="26"/>
      <c r="H1638" s="26"/>
      <c r="I1638" s="26"/>
      <c r="J1638" s="26"/>
    </row>
    <row r="1639" ht="15" customHeight="1">
      <c r="A1639" s="27">
        <v>1633</v>
      </c>
      <c r="B1639" s="27"/>
      <c r="C1639" s="27"/>
      <c r="D1639" s="27"/>
      <c r="E1639" s="27"/>
      <c r="F1639" s="27"/>
      <c r="G1639" s="27"/>
      <c r="H1639" s="27"/>
      <c r="I1639" s="27"/>
      <c r="J1639" s="27"/>
    </row>
    <row r="1640" ht="15" customHeight="1">
      <c r="A1640" s="26">
        <v>1634</v>
      </c>
      <c r="B1640" s="26"/>
      <c r="C1640" s="26"/>
      <c r="D1640" s="26"/>
      <c r="E1640" s="26"/>
      <c r="F1640" s="26"/>
      <c r="G1640" s="26"/>
      <c r="H1640" s="26"/>
      <c r="I1640" s="26"/>
      <c r="J1640" s="26"/>
    </row>
    <row r="1641" ht="15" customHeight="1">
      <c r="A1641" s="27">
        <v>1635</v>
      </c>
      <c r="B1641" s="27"/>
      <c r="C1641" s="27"/>
      <c r="D1641" s="27"/>
      <c r="E1641" s="27"/>
      <c r="F1641" s="27"/>
      <c r="G1641" s="27"/>
      <c r="H1641" s="27"/>
      <c r="I1641" s="27"/>
      <c r="J1641" s="27"/>
    </row>
    <row r="1642" ht="15" customHeight="1">
      <c r="A1642" s="26">
        <v>1636</v>
      </c>
      <c r="B1642" s="26"/>
      <c r="C1642" s="26"/>
      <c r="D1642" s="26"/>
      <c r="E1642" s="26"/>
      <c r="F1642" s="26"/>
      <c r="G1642" s="26"/>
      <c r="H1642" s="26"/>
      <c r="I1642" s="26"/>
      <c r="J1642" s="26"/>
    </row>
    <row r="1643" ht="15" customHeight="1">
      <c r="A1643" s="27">
        <v>1637</v>
      </c>
      <c r="B1643" s="27"/>
      <c r="C1643" s="27"/>
      <c r="D1643" s="27"/>
      <c r="E1643" s="27"/>
      <c r="F1643" s="27"/>
      <c r="G1643" s="27"/>
      <c r="H1643" s="27"/>
      <c r="I1643" s="27"/>
      <c r="J1643" s="27"/>
    </row>
    <row r="1644" ht="15" customHeight="1">
      <c r="A1644" s="26">
        <v>1638</v>
      </c>
      <c r="B1644" s="26"/>
      <c r="C1644" s="26"/>
      <c r="D1644" s="26"/>
      <c r="E1644" s="26"/>
      <c r="F1644" s="26"/>
      <c r="G1644" s="26"/>
      <c r="H1644" s="26"/>
      <c r="I1644" s="26"/>
      <c r="J1644" s="26"/>
    </row>
    <row r="1645" ht="15" customHeight="1">
      <c r="A1645" s="27">
        <v>1639</v>
      </c>
      <c r="B1645" s="27"/>
      <c r="C1645" s="27"/>
      <c r="D1645" s="27"/>
      <c r="E1645" s="27"/>
      <c r="F1645" s="27"/>
      <c r="G1645" s="27"/>
      <c r="H1645" s="27"/>
      <c r="I1645" s="27"/>
      <c r="J1645" s="27"/>
    </row>
    <row r="1646" ht="15" customHeight="1">
      <c r="A1646" s="26">
        <v>1640</v>
      </c>
      <c r="B1646" s="26"/>
      <c r="C1646" s="26"/>
      <c r="D1646" s="26"/>
      <c r="E1646" s="26"/>
      <c r="F1646" s="26"/>
      <c r="G1646" s="26"/>
      <c r="H1646" s="26"/>
      <c r="I1646" s="26"/>
      <c r="J1646" s="26"/>
    </row>
    <row r="1647" ht="15" customHeight="1">
      <c r="A1647" s="27">
        <v>1641</v>
      </c>
      <c r="B1647" s="27"/>
      <c r="C1647" s="27"/>
      <c r="D1647" s="27"/>
      <c r="E1647" s="27"/>
      <c r="F1647" s="27"/>
      <c r="G1647" s="27"/>
      <c r="H1647" s="27"/>
      <c r="I1647" s="27"/>
      <c r="J1647" s="27"/>
    </row>
    <row r="1648" ht="15" customHeight="1">
      <c r="A1648" s="26">
        <v>1642</v>
      </c>
      <c r="B1648" s="26"/>
      <c r="C1648" s="26"/>
      <c r="D1648" s="26"/>
      <c r="E1648" s="26"/>
      <c r="F1648" s="26"/>
      <c r="G1648" s="26"/>
      <c r="H1648" s="26"/>
      <c r="I1648" s="26"/>
      <c r="J1648" s="26"/>
    </row>
    <row r="1649" ht="15" customHeight="1">
      <c r="A1649" s="27">
        <v>1643</v>
      </c>
      <c r="B1649" s="27"/>
      <c r="C1649" s="27"/>
      <c r="D1649" s="27"/>
      <c r="E1649" s="27"/>
      <c r="F1649" s="27"/>
      <c r="G1649" s="27"/>
      <c r="H1649" s="27"/>
      <c r="I1649" s="27"/>
      <c r="J1649" s="27"/>
    </row>
    <row r="1650" ht="15" customHeight="1">
      <c r="A1650" s="26">
        <v>1644</v>
      </c>
      <c r="B1650" s="26"/>
      <c r="C1650" s="26"/>
      <c r="D1650" s="26"/>
      <c r="E1650" s="26"/>
      <c r="F1650" s="26"/>
      <c r="G1650" s="26"/>
      <c r="H1650" s="26"/>
      <c r="I1650" s="26"/>
      <c r="J1650" s="26"/>
    </row>
    <row r="1651" ht="15" customHeight="1">
      <c r="A1651" s="27">
        <v>1645</v>
      </c>
      <c r="B1651" s="27"/>
      <c r="C1651" s="27"/>
      <c r="D1651" s="27"/>
      <c r="E1651" s="27"/>
      <c r="F1651" s="27"/>
      <c r="G1651" s="27"/>
      <c r="H1651" s="27"/>
      <c r="I1651" s="27"/>
      <c r="J1651" s="27"/>
    </row>
    <row r="1652" ht="15" customHeight="1">
      <c r="A1652" s="26">
        <v>1646</v>
      </c>
      <c r="B1652" s="26"/>
      <c r="C1652" s="26"/>
      <c r="D1652" s="26"/>
      <c r="E1652" s="26"/>
      <c r="F1652" s="26"/>
      <c r="G1652" s="26"/>
      <c r="H1652" s="26"/>
      <c r="I1652" s="26"/>
      <c r="J1652" s="26"/>
    </row>
    <row r="1653" ht="15" customHeight="1">
      <c r="A1653" s="27">
        <v>1647</v>
      </c>
      <c r="B1653" s="27"/>
      <c r="C1653" s="27"/>
      <c r="D1653" s="27"/>
      <c r="E1653" s="27"/>
      <c r="F1653" s="27"/>
      <c r="G1653" s="27"/>
      <c r="H1653" s="27"/>
      <c r="I1653" s="27"/>
      <c r="J1653" s="27"/>
    </row>
    <row r="1654" ht="15" customHeight="1">
      <c r="A1654" s="26">
        <v>1648</v>
      </c>
      <c r="B1654" s="26"/>
      <c r="C1654" s="26"/>
      <c r="D1654" s="26"/>
      <c r="E1654" s="26"/>
      <c r="F1654" s="26"/>
      <c r="G1654" s="26"/>
      <c r="H1654" s="26"/>
      <c r="I1654" s="26"/>
      <c r="J1654" s="26"/>
    </row>
    <row r="1655" ht="15" customHeight="1">
      <c r="A1655" s="27">
        <v>1649</v>
      </c>
      <c r="B1655" s="27"/>
      <c r="C1655" s="27"/>
      <c r="D1655" s="27"/>
      <c r="E1655" s="27"/>
      <c r="F1655" s="27"/>
      <c r="G1655" s="27"/>
      <c r="H1655" s="27"/>
      <c r="I1655" s="27"/>
      <c r="J1655" s="27"/>
    </row>
    <row r="1656" ht="15" customHeight="1">
      <c r="A1656" s="26">
        <v>1650</v>
      </c>
      <c r="B1656" s="26"/>
      <c r="C1656" s="26"/>
      <c r="D1656" s="26"/>
      <c r="E1656" s="26"/>
      <c r="F1656" s="26"/>
      <c r="G1656" s="26"/>
      <c r="H1656" s="26"/>
      <c r="I1656" s="26"/>
      <c r="J1656" s="26"/>
    </row>
    <row r="1657" ht="15" customHeight="1">
      <c r="A1657" s="27">
        <v>1651</v>
      </c>
      <c r="B1657" s="27"/>
      <c r="C1657" s="27"/>
      <c r="D1657" s="27"/>
      <c r="E1657" s="27"/>
      <c r="F1657" s="27"/>
      <c r="G1657" s="27"/>
      <c r="H1657" s="27"/>
      <c r="I1657" s="27"/>
      <c r="J1657" s="27"/>
    </row>
    <row r="1658" ht="15" customHeight="1">
      <c r="A1658" s="26">
        <v>1652</v>
      </c>
      <c r="B1658" s="26"/>
      <c r="C1658" s="26"/>
      <c r="D1658" s="26"/>
      <c r="E1658" s="26"/>
      <c r="F1658" s="26"/>
      <c r="G1658" s="26"/>
      <c r="H1658" s="26"/>
      <c r="I1658" s="26"/>
      <c r="J1658" s="26"/>
    </row>
    <row r="1659" ht="15" customHeight="1">
      <c r="A1659" s="27">
        <v>1653</v>
      </c>
      <c r="B1659" s="27"/>
      <c r="C1659" s="27"/>
      <c r="D1659" s="27"/>
      <c r="E1659" s="27"/>
      <c r="F1659" s="27"/>
      <c r="G1659" s="27"/>
      <c r="H1659" s="27"/>
      <c r="I1659" s="27"/>
      <c r="J1659" s="27"/>
    </row>
    <row r="1660" ht="15" customHeight="1">
      <c r="A1660" s="26">
        <v>1654</v>
      </c>
      <c r="B1660" s="26"/>
      <c r="C1660" s="26"/>
      <c r="D1660" s="26"/>
      <c r="E1660" s="26"/>
      <c r="F1660" s="26"/>
      <c r="G1660" s="26"/>
      <c r="H1660" s="26"/>
      <c r="I1660" s="26"/>
      <c r="J1660" s="26"/>
    </row>
    <row r="1661" ht="15" customHeight="1">
      <c r="A1661" s="27">
        <v>1655</v>
      </c>
      <c r="B1661" s="27"/>
      <c r="C1661" s="27"/>
      <c r="D1661" s="27"/>
      <c r="E1661" s="27"/>
      <c r="F1661" s="27"/>
      <c r="G1661" s="27"/>
      <c r="H1661" s="27"/>
      <c r="I1661" s="27"/>
      <c r="J1661" s="27"/>
    </row>
    <row r="1662" ht="15" customHeight="1">
      <c r="A1662" s="26">
        <v>1656</v>
      </c>
      <c r="B1662" s="26"/>
      <c r="C1662" s="26"/>
      <c r="D1662" s="26"/>
      <c r="E1662" s="26"/>
      <c r="F1662" s="26"/>
      <c r="G1662" s="26"/>
      <c r="H1662" s="26"/>
      <c r="I1662" s="26"/>
      <c r="J1662" s="26"/>
    </row>
    <row r="1663" ht="15" customHeight="1">
      <c r="A1663" s="27">
        <v>1657</v>
      </c>
      <c r="B1663" s="27"/>
      <c r="C1663" s="27"/>
      <c r="D1663" s="27"/>
      <c r="E1663" s="27"/>
      <c r="F1663" s="27"/>
      <c r="G1663" s="27"/>
      <c r="H1663" s="27"/>
      <c r="I1663" s="27"/>
      <c r="J1663" s="27"/>
    </row>
    <row r="1664" ht="15" customHeight="1">
      <c r="A1664" s="26">
        <v>1658</v>
      </c>
      <c r="B1664" s="26"/>
      <c r="C1664" s="26"/>
      <c r="D1664" s="26"/>
      <c r="E1664" s="26"/>
      <c r="F1664" s="26"/>
      <c r="G1664" s="26"/>
      <c r="H1664" s="26"/>
      <c r="I1664" s="26"/>
      <c r="J1664" s="26"/>
    </row>
    <row r="1665" ht="15" customHeight="1">
      <c r="A1665" s="27">
        <v>1659</v>
      </c>
      <c r="B1665" s="27"/>
      <c r="C1665" s="27"/>
      <c r="D1665" s="27"/>
      <c r="E1665" s="27"/>
      <c r="F1665" s="27"/>
      <c r="G1665" s="27"/>
      <c r="H1665" s="27"/>
      <c r="I1665" s="27"/>
      <c r="J1665" s="27"/>
    </row>
    <row r="1666" ht="15" customHeight="1">
      <c r="A1666" s="26">
        <v>1660</v>
      </c>
      <c r="B1666" s="26"/>
      <c r="C1666" s="26"/>
      <c r="D1666" s="26"/>
      <c r="E1666" s="26"/>
      <c r="F1666" s="26"/>
      <c r="G1666" s="26"/>
      <c r="H1666" s="26"/>
      <c r="I1666" s="26"/>
      <c r="J1666" s="26"/>
    </row>
    <row r="1667" ht="15" customHeight="1">
      <c r="A1667" s="27">
        <v>1661</v>
      </c>
      <c r="B1667" s="27"/>
      <c r="C1667" s="27"/>
      <c r="D1667" s="27"/>
      <c r="E1667" s="27"/>
      <c r="F1667" s="27"/>
      <c r="G1667" s="27"/>
      <c r="H1667" s="27"/>
      <c r="I1667" s="27"/>
      <c r="J1667" s="27"/>
    </row>
    <row r="1668" ht="15" customHeight="1">
      <c r="A1668" s="26">
        <v>1662</v>
      </c>
      <c r="B1668" s="26"/>
      <c r="C1668" s="26"/>
      <c r="D1668" s="26"/>
      <c r="E1668" s="26"/>
      <c r="F1668" s="26"/>
      <c r="G1668" s="26"/>
      <c r="H1668" s="26"/>
      <c r="I1668" s="26"/>
      <c r="J1668" s="26"/>
    </row>
    <row r="1669" ht="15" customHeight="1">
      <c r="A1669" s="27">
        <v>1663</v>
      </c>
      <c r="B1669" s="27"/>
      <c r="C1669" s="27"/>
      <c r="D1669" s="27"/>
      <c r="E1669" s="27"/>
      <c r="F1669" s="27"/>
      <c r="G1669" s="27"/>
      <c r="H1669" s="27"/>
      <c r="I1669" s="27"/>
      <c r="J1669" s="27"/>
    </row>
    <row r="1670" ht="15" customHeight="1">
      <c r="A1670" s="26">
        <v>1664</v>
      </c>
      <c r="B1670" s="26"/>
      <c r="C1670" s="26"/>
      <c r="D1670" s="26"/>
      <c r="E1670" s="26"/>
      <c r="F1670" s="26"/>
      <c r="G1670" s="26"/>
      <c r="H1670" s="26"/>
      <c r="I1670" s="26"/>
      <c r="J1670" s="26"/>
    </row>
    <row r="1671" ht="15" customHeight="1">
      <c r="A1671" s="27">
        <v>1665</v>
      </c>
      <c r="B1671" s="27"/>
      <c r="C1671" s="27"/>
      <c r="D1671" s="27"/>
      <c r="E1671" s="27"/>
      <c r="F1671" s="27"/>
      <c r="G1671" s="27"/>
      <c r="H1671" s="27"/>
      <c r="I1671" s="27"/>
      <c r="J1671" s="27"/>
    </row>
    <row r="1672" ht="15" customHeight="1">
      <c r="A1672" s="26">
        <v>1666</v>
      </c>
      <c r="B1672" s="26"/>
      <c r="C1672" s="26"/>
      <c r="D1672" s="26"/>
      <c r="E1672" s="26"/>
      <c r="F1672" s="26"/>
      <c r="G1672" s="26"/>
      <c r="H1672" s="26"/>
      <c r="I1672" s="26"/>
      <c r="J1672" s="26"/>
    </row>
    <row r="1673" ht="15" customHeight="1">
      <c r="A1673" s="27">
        <v>1667</v>
      </c>
      <c r="B1673" s="27"/>
      <c r="C1673" s="27"/>
      <c r="D1673" s="27"/>
      <c r="E1673" s="27"/>
      <c r="F1673" s="27"/>
      <c r="G1673" s="27"/>
      <c r="H1673" s="27"/>
      <c r="I1673" s="27"/>
      <c r="J1673" s="27"/>
    </row>
    <row r="1674" ht="15" customHeight="1">
      <c r="A1674" s="26">
        <v>1668</v>
      </c>
      <c r="B1674" s="26"/>
      <c r="C1674" s="26"/>
      <c r="D1674" s="26"/>
      <c r="E1674" s="26"/>
      <c r="F1674" s="26"/>
      <c r="G1674" s="26"/>
      <c r="H1674" s="26"/>
      <c r="I1674" s="26"/>
      <c r="J1674" s="26"/>
    </row>
    <row r="1675" ht="15" customHeight="1">
      <c r="A1675" s="27">
        <v>1669</v>
      </c>
      <c r="B1675" s="27"/>
      <c r="C1675" s="27"/>
      <c r="D1675" s="27"/>
      <c r="E1675" s="27"/>
      <c r="F1675" s="27"/>
      <c r="G1675" s="27"/>
      <c r="H1675" s="27"/>
      <c r="I1675" s="27"/>
      <c r="J1675" s="27"/>
    </row>
    <row r="1676" ht="15" customHeight="1">
      <c r="A1676" s="26">
        <v>1670</v>
      </c>
      <c r="B1676" s="26"/>
      <c r="C1676" s="26"/>
      <c r="D1676" s="26"/>
      <c r="E1676" s="26"/>
      <c r="F1676" s="26"/>
      <c r="G1676" s="26"/>
      <c r="H1676" s="26"/>
      <c r="I1676" s="26"/>
      <c r="J1676" s="26"/>
    </row>
    <row r="1677" ht="15" customHeight="1">
      <c r="A1677" s="27">
        <v>1671</v>
      </c>
      <c r="B1677" s="27"/>
      <c r="C1677" s="27"/>
      <c r="D1677" s="27"/>
      <c r="E1677" s="27"/>
      <c r="F1677" s="27"/>
      <c r="G1677" s="27"/>
      <c r="H1677" s="27"/>
      <c r="I1677" s="27"/>
      <c r="J1677" s="27"/>
    </row>
    <row r="1678" ht="15" customHeight="1">
      <c r="A1678" s="26">
        <v>1672</v>
      </c>
      <c r="B1678" s="26"/>
      <c r="C1678" s="26"/>
      <c r="D1678" s="26"/>
      <c r="E1678" s="26"/>
      <c r="F1678" s="26"/>
      <c r="G1678" s="26"/>
      <c r="H1678" s="26"/>
      <c r="I1678" s="26"/>
      <c r="J1678" s="26"/>
    </row>
    <row r="1679" ht="15" customHeight="1">
      <c r="A1679" s="27">
        <v>1673</v>
      </c>
      <c r="B1679" s="27"/>
      <c r="C1679" s="27"/>
      <c r="D1679" s="27"/>
      <c r="E1679" s="27"/>
      <c r="F1679" s="27"/>
      <c r="G1679" s="27"/>
      <c r="H1679" s="27"/>
      <c r="I1679" s="27"/>
      <c r="J1679" s="27"/>
    </row>
    <row r="1680" ht="15" customHeight="1">
      <c r="A1680" s="26">
        <v>1674</v>
      </c>
      <c r="B1680" s="26"/>
      <c r="C1680" s="26"/>
      <c r="D1680" s="26"/>
      <c r="E1680" s="26"/>
      <c r="F1680" s="26"/>
      <c r="G1680" s="26"/>
      <c r="H1680" s="26"/>
      <c r="I1680" s="26"/>
      <c r="J1680" s="26"/>
    </row>
    <row r="1681" ht="15" customHeight="1">
      <c r="A1681" s="27">
        <v>1675</v>
      </c>
      <c r="B1681" s="27"/>
      <c r="C1681" s="27"/>
      <c r="D1681" s="27"/>
      <c r="E1681" s="27"/>
      <c r="F1681" s="27"/>
      <c r="G1681" s="27"/>
      <c r="H1681" s="27"/>
      <c r="I1681" s="27"/>
      <c r="J1681" s="27"/>
    </row>
    <row r="1682" ht="15" customHeight="1">
      <c r="A1682" s="26">
        <v>1676</v>
      </c>
      <c r="B1682" s="26"/>
      <c r="C1682" s="26"/>
      <c r="D1682" s="26"/>
      <c r="E1682" s="26"/>
      <c r="F1682" s="26"/>
      <c r="G1682" s="26"/>
      <c r="H1682" s="26"/>
      <c r="I1682" s="26"/>
      <c r="J1682" s="26"/>
    </row>
    <row r="1683" ht="15" customHeight="1">
      <c r="A1683" s="27">
        <v>1677</v>
      </c>
      <c r="B1683" s="27"/>
      <c r="C1683" s="27"/>
      <c r="D1683" s="27"/>
      <c r="E1683" s="27"/>
      <c r="F1683" s="27"/>
      <c r="G1683" s="27"/>
      <c r="H1683" s="27"/>
      <c r="I1683" s="27"/>
      <c r="J1683" s="27"/>
    </row>
    <row r="1684" ht="15" customHeight="1">
      <c r="A1684" s="26">
        <v>1678</v>
      </c>
      <c r="B1684" s="26"/>
      <c r="C1684" s="26"/>
      <c r="D1684" s="26"/>
      <c r="E1684" s="26"/>
      <c r="F1684" s="26"/>
      <c r="G1684" s="26"/>
      <c r="H1684" s="26"/>
      <c r="I1684" s="26"/>
      <c r="J1684" s="26"/>
    </row>
    <row r="1685" ht="15" customHeight="1">
      <c r="A1685" s="27">
        <v>1679</v>
      </c>
      <c r="B1685" s="27"/>
      <c r="C1685" s="27"/>
      <c r="D1685" s="27"/>
      <c r="E1685" s="27"/>
      <c r="F1685" s="27"/>
      <c r="G1685" s="27"/>
      <c r="H1685" s="27"/>
      <c r="I1685" s="27"/>
      <c r="J1685" s="27"/>
    </row>
    <row r="1686" ht="15" customHeight="1">
      <c r="A1686" s="26">
        <v>1680</v>
      </c>
      <c r="B1686" s="26"/>
      <c r="C1686" s="26"/>
      <c r="D1686" s="26"/>
      <c r="E1686" s="26"/>
      <c r="F1686" s="26"/>
      <c r="G1686" s="26"/>
      <c r="H1686" s="26"/>
      <c r="I1686" s="26"/>
      <c r="J1686" s="26"/>
    </row>
    <row r="1687" ht="15" customHeight="1">
      <c r="A1687" s="27">
        <v>1681</v>
      </c>
      <c r="B1687" s="27"/>
      <c r="C1687" s="27"/>
      <c r="D1687" s="27"/>
      <c r="E1687" s="27"/>
      <c r="F1687" s="27"/>
      <c r="G1687" s="27"/>
      <c r="H1687" s="27"/>
      <c r="I1687" s="27"/>
      <c r="J1687" s="27"/>
    </row>
    <row r="1688" ht="15" customHeight="1">
      <c r="A1688" s="26">
        <v>1682</v>
      </c>
      <c r="B1688" s="26"/>
      <c r="C1688" s="26"/>
      <c r="D1688" s="26"/>
      <c r="E1688" s="26"/>
      <c r="F1688" s="26"/>
      <c r="G1688" s="26"/>
      <c r="H1688" s="26"/>
      <c r="I1688" s="26"/>
      <c r="J1688" s="26"/>
    </row>
    <row r="1689" ht="15" customHeight="1">
      <c r="A1689" s="27">
        <v>1683</v>
      </c>
      <c r="B1689" s="27"/>
      <c r="C1689" s="27"/>
      <c r="D1689" s="27"/>
      <c r="E1689" s="27"/>
      <c r="F1689" s="27"/>
      <c r="G1689" s="27"/>
      <c r="H1689" s="27"/>
      <c r="I1689" s="27"/>
      <c r="J1689" s="27"/>
    </row>
    <row r="1690" ht="15" customHeight="1">
      <c r="A1690" s="26">
        <v>1684</v>
      </c>
      <c r="B1690" s="26"/>
      <c r="C1690" s="26"/>
      <c r="D1690" s="26"/>
      <c r="E1690" s="26"/>
      <c r="F1690" s="26"/>
      <c r="G1690" s="26"/>
      <c r="H1690" s="26"/>
      <c r="I1690" s="26"/>
      <c r="J1690" s="26"/>
    </row>
    <row r="1691" ht="15" customHeight="1">
      <c r="A1691" s="27">
        <v>1685</v>
      </c>
      <c r="B1691" s="27"/>
      <c r="C1691" s="27"/>
      <c r="D1691" s="27"/>
      <c r="E1691" s="27"/>
      <c r="F1691" s="27"/>
      <c r="G1691" s="27"/>
      <c r="H1691" s="27"/>
      <c r="I1691" s="27"/>
      <c r="J1691" s="27"/>
    </row>
    <row r="1692" ht="15" customHeight="1">
      <c r="A1692" s="26">
        <v>1686</v>
      </c>
      <c r="B1692" s="26"/>
      <c r="C1692" s="26"/>
      <c r="D1692" s="26"/>
      <c r="E1692" s="26"/>
      <c r="F1692" s="26"/>
      <c r="G1692" s="26"/>
      <c r="H1692" s="26"/>
      <c r="I1692" s="26"/>
      <c r="J1692" s="26"/>
    </row>
    <row r="1693" ht="15" customHeight="1">
      <c r="A1693" s="27">
        <v>1687</v>
      </c>
      <c r="B1693" s="27"/>
      <c r="C1693" s="27"/>
      <c r="D1693" s="27"/>
      <c r="E1693" s="27"/>
      <c r="F1693" s="27"/>
      <c r="G1693" s="27"/>
      <c r="H1693" s="27"/>
      <c r="I1693" s="27"/>
      <c r="J1693" s="27"/>
    </row>
    <row r="1694" ht="15" customHeight="1">
      <c r="A1694" s="26">
        <v>1688</v>
      </c>
      <c r="B1694" s="26"/>
      <c r="C1694" s="26"/>
      <c r="D1694" s="26"/>
      <c r="E1694" s="26"/>
      <c r="F1694" s="26"/>
      <c r="G1694" s="26"/>
      <c r="H1694" s="26"/>
      <c r="I1694" s="26"/>
      <c r="J1694" s="26"/>
    </row>
    <row r="1695" ht="15" customHeight="1">
      <c r="A1695" s="27">
        <v>1689</v>
      </c>
      <c r="B1695" s="27"/>
      <c r="C1695" s="27"/>
      <c r="D1695" s="27"/>
      <c r="E1695" s="27"/>
      <c r="F1695" s="27"/>
      <c r="G1695" s="27"/>
      <c r="H1695" s="27"/>
      <c r="I1695" s="27"/>
      <c r="J1695" s="27"/>
    </row>
    <row r="1696" ht="15" customHeight="1">
      <c r="A1696" s="26">
        <v>1690</v>
      </c>
      <c r="B1696" s="26"/>
      <c r="C1696" s="26"/>
      <c r="D1696" s="26"/>
      <c r="E1696" s="26"/>
      <c r="F1696" s="26"/>
      <c r="G1696" s="26"/>
      <c r="H1696" s="26"/>
      <c r="I1696" s="26"/>
      <c r="J1696" s="26"/>
    </row>
    <row r="1697" ht="15" customHeight="1">
      <c r="A1697" s="27">
        <v>1691</v>
      </c>
      <c r="B1697" s="27"/>
      <c r="C1697" s="27"/>
      <c r="D1697" s="27"/>
      <c r="E1697" s="27"/>
      <c r="F1697" s="27"/>
      <c r="G1697" s="27"/>
      <c r="H1697" s="27"/>
      <c r="I1697" s="27"/>
      <c r="J1697" s="27"/>
    </row>
    <row r="1698" ht="15" customHeight="1">
      <c r="A1698" s="26">
        <v>1692</v>
      </c>
      <c r="B1698" s="26"/>
      <c r="C1698" s="26"/>
      <c r="D1698" s="26"/>
      <c r="E1698" s="26"/>
      <c r="F1698" s="26"/>
      <c r="G1698" s="26"/>
      <c r="H1698" s="26"/>
      <c r="I1698" s="26"/>
      <c r="J1698" s="26"/>
    </row>
    <row r="1699" ht="15" customHeight="1">
      <c r="A1699" s="27">
        <v>1693</v>
      </c>
      <c r="B1699" s="27"/>
      <c r="C1699" s="27"/>
      <c r="D1699" s="27"/>
      <c r="E1699" s="27"/>
      <c r="F1699" s="27"/>
      <c r="G1699" s="27"/>
      <c r="H1699" s="27"/>
      <c r="I1699" s="27"/>
      <c r="J1699" s="27"/>
    </row>
    <row r="1700" ht="15" customHeight="1">
      <c r="A1700" s="26">
        <v>1694</v>
      </c>
      <c r="B1700" s="26"/>
      <c r="C1700" s="26"/>
      <c r="D1700" s="26"/>
      <c r="E1700" s="26"/>
      <c r="F1700" s="26"/>
      <c r="G1700" s="26"/>
      <c r="H1700" s="26"/>
      <c r="I1700" s="26"/>
      <c r="J1700" s="26"/>
    </row>
    <row r="1701" ht="15" customHeight="1">
      <c r="A1701" s="27">
        <v>1695</v>
      </c>
      <c r="B1701" s="27"/>
      <c r="C1701" s="27"/>
      <c r="D1701" s="27"/>
      <c r="E1701" s="27"/>
      <c r="F1701" s="27"/>
      <c r="G1701" s="27"/>
      <c r="H1701" s="27"/>
      <c r="I1701" s="27"/>
      <c r="J1701" s="27"/>
    </row>
    <row r="1702" ht="15" customHeight="1">
      <c r="A1702" s="26">
        <v>1696</v>
      </c>
      <c r="B1702" s="26"/>
      <c r="C1702" s="26"/>
      <c r="D1702" s="26"/>
      <c r="E1702" s="26"/>
      <c r="F1702" s="26"/>
      <c r="G1702" s="26"/>
      <c r="H1702" s="26"/>
      <c r="I1702" s="26"/>
      <c r="J1702" s="26"/>
    </row>
    <row r="1703" ht="15" customHeight="1">
      <c r="A1703" s="27">
        <v>1697</v>
      </c>
      <c r="B1703" s="27"/>
      <c r="C1703" s="27"/>
      <c r="D1703" s="27"/>
      <c r="E1703" s="27"/>
      <c r="F1703" s="27"/>
      <c r="G1703" s="27"/>
      <c r="H1703" s="27"/>
      <c r="I1703" s="27"/>
      <c r="J1703" s="27"/>
    </row>
    <row r="1704" ht="15" customHeight="1">
      <c r="A1704" s="26">
        <v>1698</v>
      </c>
      <c r="B1704" s="26"/>
      <c r="C1704" s="26"/>
      <c r="D1704" s="26"/>
      <c r="E1704" s="26"/>
      <c r="F1704" s="26"/>
      <c r="G1704" s="26"/>
      <c r="H1704" s="26"/>
      <c r="I1704" s="26"/>
      <c r="J1704" s="26"/>
    </row>
    <row r="1705" ht="15" customHeight="1">
      <c r="A1705" s="27">
        <v>1699</v>
      </c>
      <c r="B1705" s="27"/>
      <c r="C1705" s="27"/>
      <c r="D1705" s="27"/>
      <c r="E1705" s="27"/>
      <c r="F1705" s="27"/>
      <c r="G1705" s="27"/>
      <c r="H1705" s="27"/>
      <c r="I1705" s="27"/>
      <c r="J1705" s="27"/>
    </row>
    <row r="1706" ht="15" customHeight="1">
      <c r="A1706" s="26">
        <v>1700</v>
      </c>
      <c r="B1706" s="26"/>
      <c r="C1706" s="26"/>
      <c r="D1706" s="26"/>
      <c r="E1706" s="26"/>
      <c r="F1706" s="26"/>
      <c r="G1706" s="26"/>
      <c r="H1706" s="26"/>
      <c r="I1706" s="26"/>
      <c r="J1706" s="26"/>
    </row>
    <row r="1707" ht="15" customHeight="1">
      <c r="A1707" s="27">
        <v>1701</v>
      </c>
      <c r="B1707" s="27"/>
      <c r="C1707" s="27"/>
      <c r="D1707" s="27"/>
      <c r="E1707" s="27"/>
      <c r="F1707" s="27"/>
      <c r="G1707" s="27"/>
      <c r="H1707" s="27"/>
      <c r="I1707" s="27"/>
      <c r="J1707" s="27"/>
    </row>
    <row r="1708" ht="15" customHeight="1">
      <c r="A1708" s="26">
        <v>1702</v>
      </c>
      <c r="B1708" s="26"/>
      <c r="C1708" s="26"/>
      <c r="D1708" s="26"/>
      <c r="E1708" s="26"/>
      <c r="F1708" s="26"/>
      <c r="G1708" s="26"/>
      <c r="H1708" s="26"/>
      <c r="I1708" s="26"/>
      <c r="J1708" s="26"/>
    </row>
    <row r="1709" ht="15" customHeight="1">
      <c r="A1709" s="27">
        <v>1703</v>
      </c>
      <c r="B1709" s="27"/>
      <c r="C1709" s="27"/>
      <c r="D1709" s="27"/>
      <c r="E1709" s="27"/>
      <c r="F1709" s="27"/>
      <c r="G1709" s="27"/>
      <c r="H1709" s="27"/>
      <c r="I1709" s="27"/>
      <c r="J1709" s="27"/>
    </row>
    <row r="1710" ht="15" customHeight="1">
      <c r="A1710" s="26">
        <v>1704</v>
      </c>
      <c r="B1710" s="26"/>
      <c r="C1710" s="26"/>
      <c r="D1710" s="26"/>
      <c r="E1710" s="26"/>
      <c r="F1710" s="26"/>
      <c r="G1710" s="26"/>
      <c r="H1710" s="26"/>
      <c r="I1710" s="26"/>
      <c r="J1710" s="26"/>
    </row>
    <row r="1711" ht="15" customHeight="1">
      <c r="A1711" s="27">
        <v>1705</v>
      </c>
      <c r="B1711" s="27"/>
      <c r="C1711" s="27"/>
      <c r="D1711" s="27"/>
      <c r="E1711" s="27"/>
      <c r="F1711" s="27"/>
      <c r="G1711" s="27"/>
      <c r="H1711" s="27"/>
      <c r="I1711" s="27"/>
      <c r="J1711" s="27"/>
    </row>
    <row r="1712" ht="15" customHeight="1">
      <c r="A1712" s="26">
        <v>1706</v>
      </c>
      <c r="B1712" s="26"/>
      <c r="C1712" s="26"/>
      <c r="D1712" s="26"/>
      <c r="E1712" s="26"/>
      <c r="F1712" s="26"/>
      <c r="G1712" s="26"/>
      <c r="H1712" s="26"/>
      <c r="I1712" s="26"/>
      <c r="J1712" s="26"/>
    </row>
    <row r="1713" ht="15" customHeight="1">
      <c r="A1713" s="27">
        <v>1707</v>
      </c>
      <c r="B1713" s="27"/>
      <c r="C1713" s="27"/>
      <c r="D1713" s="27"/>
      <c r="E1713" s="27"/>
      <c r="F1713" s="27"/>
      <c r="G1713" s="27"/>
      <c r="H1713" s="27"/>
      <c r="I1713" s="27"/>
      <c r="J1713" s="27"/>
    </row>
    <row r="1714" ht="15" customHeight="1">
      <c r="A1714" s="26">
        <v>1708</v>
      </c>
      <c r="B1714" s="26"/>
      <c r="C1714" s="26"/>
      <c r="D1714" s="26"/>
      <c r="E1714" s="26"/>
      <c r="F1714" s="26"/>
      <c r="G1714" s="26"/>
      <c r="H1714" s="26"/>
      <c r="I1714" s="26"/>
      <c r="J1714" s="26"/>
    </row>
    <row r="1715" ht="15" customHeight="1">
      <c r="A1715" s="27">
        <v>1709</v>
      </c>
      <c r="B1715" s="27"/>
      <c r="C1715" s="27"/>
      <c r="D1715" s="27"/>
      <c r="E1715" s="27"/>
      <c r="F1715" s="27"/>
      <c r="G1715" s="27"/>
      <c r="H1715" s="27"/>
      <c r="I1715" s="27"/>
      <c r="J1715" s="27"/>
    </row>
    <row r="1716" ht="15" customHeight="1">
      <c r="A1716" s="26">
        <v>1710</v>
      </c>
      <c r="B1716" s="26"/>
      <c r="C1716" s="26"/>
      <c r="D1716" s="26"/>
      <c r="E1716" s="26"/>
      <c r="F1716" s="26"/>
      <c r="G1716" s="26"/>
      <c r="H1716" s="26"/>
      <c r="I1716" s="26"/>
      <c r="J1716" s="26"/>
    </row>
    <row r="1717" ht="15" customHeight="1">
      <c r="A1717" s="27">
        <v>1711</v>
      </c>
      <c r="B1717" s="27"/>
      <c r="C1717" s="27"/>
      <c r="D1717" s="27"/>
      <c r="E1717" s="27"/>
      <c r="F1717" s="27"/>
      <c r="G1717" s="27"/>
      <c r="H1717" s="27"/>
      <c r="I1717" s="27"/>
      <c r="J1717" s="27"/>
    </row>
    <row r="1718" ht="15" customHeight="1">
      <c r="A1718" s="26">
        <v>1712</v>
      </c>
      <c r="B1718" s="26"/>
      <c r="C1718" s="26"/>
      <c r="D1718" s="26"/>
      <c r="E1718" s="26"/>
      <c r="F1718" s="26"/>
      <c r="G1718" s="26"/>
      <c r="H1718" s="26"/>
      <c r="I1718" s="26"/>
      <c r="J1718" s="26"/>
    </row>
    <row r="1719" ht="15" customHeight="1">
      <c r="A1719" s="27">
        <v>1713</v>
      </c>
      <c r="B1719" s="27"/>
      <c r="C1719" s="27"/>
      <c r="D1719" s="27"/>
      <c r="E1719" s="27"/>
      <c r="F1719" s="27"/>
      <c r="G1719" s="27"/>
      <c r="H1719" s="27"/>
      <c r="I1719" s="27"/>
      <c r="J1719" s="27"/>
    </row>
    <row r="1720" ht="15" customHeight="1">
      <c r="A1720" s="26">
        <v>1714</v>
      </c>
      <c r="B1720" s="26"/>
      <c r="C1720" s="26"/>
      <c r="D1720" s="26"/>
      <c r="E1720" s="26"/>
      <c r="F1720" s="26"/>
      <c r="G1720" s="26"/>
      <c r="H1720" s="26"/>
      <c r="I1720" s="26"/>
      <c r="J1720" s="26"/>
    </row>
    <row r="1721" ht="15" customHeight="1">
      <c r="A1721" s="27">
        <v>1715</v>
      </c>
      <c r="B1721" s="27"/>
      <c r="C1721" s="27"/>
      <c r="D1721" s="27"/>
      <c r="E1721" s="27"/>
      <c r="F1721" s="27"/>
      <c r="G1721" s="27"/>
      <c r="H1721" s="27"/>
      <c r="I1721" s="27"/>
      <c r="J1721" s="27"/>
    </row>
    <row r="1722" ht="15" customHeight="1">
      <c r="A1722" s="26">
        <v>1716</v>
      </c>
      <c r="B1722" s="26"/>
      <c r="C1722" s="26"/>
      <c r="D1722" s="26"/>
      <c r="E1722" s="26"/>
      <c r="F1722" s="26"/>
      <c r="G1722" s="26"/>
      <c r="H1722" s="26"/>
      <c r="I1722" s="26"/>
      <c r="J1722" s="26"/>
    </row>
    <row r="1723" ht="15" customHeight="1">
      <c r="A1723" s="27">
        <v>1717</v>
      </c>
      <c r="B1723" s="27"/>
      <c r="C1723" s="27"/>
      <c r="D1723" s="27"/>
      <c r="E1723" s="27"/>
      <c r="F1723" s="27"/>
      <c r="G1723" s="27"/>
      <c r="H1723" s="27"/>
      <c r="I1723" s="27"/>
      <c r="J1723" s="27"/>
    </row>
    <row r="1724" ht="15" customHeight="1">
      <c r="A1724" s="26">
        <v>1718</v>
      </c>
      <c r="B1724" s="26"/>
      <c r="C1724" s="26"/>
      <c r="D1724" s="26"/>
      <c r="E1724" s="26"/>
      <c r="F1724" s="26"/>
      <c r="G1724" s="26"/>
      <c r="H1724" s="26"/>
      <c r="I1724" s="26"/>
      <c r="J1724" s="26"/>
    </row>
    <row r="1725" ht="15" customHeight="1">
      <c r="A1725" s="27">
        <v>1719</v>
      </c>
      <c r="B1725" s="27"/>
      <c r="C1725" s="27"/>
      <c r="D1725" s="27"/>
      <c r="E1725" s="27"/>
      <c r="F1725" s="27"/>
      <c r="G1725" s="27"/>
      <c r="H1725" s="27"/>
      <c r="I1725" s="27"/>
      <c r="J1725" s="27"/>
    </row>
    <row r="1726" ht="15" customHeight="1">
      <c r="A1726" s="26">
        <v>1720</v>
      </c>
      <c r="B1726" s="26"/>
      <c r="C1726" s="26"/>
      <c r="D1726" s="26"/>
      <c r="E1726" s="26"/>
      <c r="F1726" s="26"/>
      <c r="G1726" s="26"/>
      <c r="H1726" s="26"/>
      <c r="I1726" s="26"/>
      <c r="J1726" s="26"/>
    </row>
    <row r="1727" ht="15" customHeight="1">
      <c r="A1727" s="27">
        <v>1721</v>
      </c>
      <c r="B1727" s="27"/>
      <c r="C1727" s="27"/>
      <c r="D1727" s="27"/>
      <c r="E1727" s="27"/>
      <c r="F1727" s="27"/>
      <c r="G1727" s="27"/>
      <c r="H1727" s="27"/>
      <c r="I1727" s="27"/>
      <c r="J1727" s="27"/>
    </row>
    <row r="1728" ht="15" customHeight="1">
      <c r="A1728" s="26">
        <v>1722</v>
      </c>
      <c r="B1728" s="26"/>
      <c r="C1728" s="26"/>
      <c r="D1728" s="26"/>
      <c r="E1728" s="26"/>
      <c r="F1728" s="26"/>
      <c r="G1728" s="26"/>
      <c r="H1728" s="26"/>
      <c r="I1728" s="26"/>
      <c r="J1728" s="26"/>
    </row>
    <row r="1729" ht="15" customHeight="1">
      <c r="A1729" s="27">
        <v>1723</v>
      </c>
      <c r="B1729" s="27"/>
      <c r="C1729" s="27"/>
      <c r="D1729" s="27"/>
      <c r="E1729" s="27"/>
      <c r="F1729" s="27"/>
      <c r="G1729" s="27"/>
      <c r="H1729" s="27"/>
      <c r="I1729" s="27"/>
      <c r="J1729" s="27"/>
    </row>
    <row r="1730" ht="15" customHeight="1">
      <c r="A1730" s="26">
        <v>1724</v>
      </c>
      <c r="B1730" s="26"/>
      <c r="C1730" s="26"/>
      <c r="D1730" s="26"/>
      <c r="E1730" s="26"/>
      <c r="F1730" s="26"/>
      <c r="G1730" s="26"/>
      <c r="H1730" s="26"/>
      <c r="I1730" s="26"/>
      <c r="J1730" s="26"/>
    </row>
    <row r="1731" ht="15" customHeight="1">
      <c r="A1731" s="27">
        <v>1725</v>
      </c>
      <c r="B1731" s="27"/>
      <c r="C1731" s="27"/>
      <c r="D1731" s="27"/>
      <c r="E1731" s="27"/>
      <c r="F1731" s="27"/>
      <c r="G1731" s="27"/>
      <c r="H1731" s="27"/>
      <c r="I1731" s="27"/>
      <c r="J1731" s="27"/>
    </row>
    <row r="1732" ht="15" customHeight="1">
      <c r="A1732" s="26">
        <v>1726</v>
      </c>
      <c r="B1732" s="26"/>
      <c r="C1732" s="26"/>
      <c r="D1732" s="26"/>
      <c r="E1732" s="26"/>
      <c r="F1732" s="26"/>
      <c r="G1732" s="26"/>
      <c r="H1732" s="26"/>
      <c r="I1732" s="26"/>
      <c r="J1732" s="26"/>
    </row>
    <row r="1733" ht="15" customHeight="1">
      <c r="A1733" s="27">
        <v>1727</v>
      </c>
      <c r="B1733" s="27"/>
      <c r="C1733" s="27"/>
      <c r="D1733" s="27"/>
      <c r="E1733" s="27"/>
      <c r="F1733" s="27"/>
      <c r="G1733" s="27"/>
      <c r="H1733" s="27"/>
      <c r="I1733" s="27"/>
      <c r="J1733" s="27"/>
    </row>
    <row r="1734" ht="15" customHeight="1">
      <c r="A1734" s="26">
        <v>1728</v>
      </c>
      <c r="B1734" s="26"/>
      <c r="C1734" s="26"/>
      <c r="D1734" s="26"/>
      <c r="E1734" s="26"/>
      <c r="F1734" s="26"/>
      <c r="G1734" s="26"/>
      <c r="H1734" s="26"/>
      <c r="I1734" s="26"/>
      <c r="J1734" s="26"/>
    </row>
    <row r="1735" ht="15" customHeight="1">
      <c r="A1735" s="27">
        <v>1729</v>
      </c>
      <c r="B1735" s="27"/>
      <c r="C1735" s="27"/>
      <c r="D1735" s="27"/>
      <c r="E1735" s="27"/>
      <c r="F1735" s="27"/>
      <c r="G1735" s="27"/>
      <c r="H1735" s="27"/>
      <c r="I1735" s="27"/>
      <c r="J1735" s="27"/>
    </row>
    <row r="1736" ht="15" customHeight="1">
      <c r="A1736" s="26">
        <v>1730</v>
      </c>
      <c r="B1736" s="26"/>
      <c r="C1736" s="26"/>
      <c r="D1736" s="26"/>
      <c r="E1736" s="26"/>
      <c r="F1736" s="26"/>
      <c r="G1736" s="26"/>
      <c r="H1736" s="26"/>
      <c r="I1736" s="26"/>
      <c r="J1736" s="26"/>
    </row>
    <row r="1737" ht="15" customHeight="1">
      <c r="A1737" s="27">
        <v>1731</v>
      </c>
      <c r="B1737" s="27"/>
      <c r="C1737" s="27"/>
      <c r="D1737" s="27"/>
      <c r="E1737" s="27"/>
      <c r="F1737" s="27"/>
      <c r="G1737" s="27"/>
      <c r="H1737" s="27"/>
      <c r="I1737" s="27"/>
      <c r="J1737" s="27"/>
    </row>
    <row r="1738" ht="15" customHeight="1">
      <c r="A1738" s="26">
        <v>1732</v>
      </c>
      <c r="B1738" s="26"/>
      <c r="C1738" s="26"/>
      <c r="D1738" s="26"/>
      <c r="E1738" s="26"/>
      <c r="F1738" s="26"/>
      <c r="G1738" s="26"/>
      <c r="H1738" s="26"/>
      <c r="I1738" s="26"/>
      <c r="J1738" s="26"/>
    </row>
    <row r="1739" ht="15" customHeight="1">
      <c r="A1739" s="27">
        <v>1733</v>
      </c>
      <c r="B1739" s="27"/>
      <c r="C1739" s="27"/>
      <c r="D1739" s="27"/>
      <c r="E1739" s="27"/>
      <c r="F1739" s="27"/>
      <c r="G1739" s="27"/>
      <c r="H1739" s="27"/>
      <c r="I1739" s="27"/>
      <c r="J1739" s="27"/>
    </row>
    <row r="1740" ht="15" customHeight="1">
      <c r="A1740" s="26">
        <v>1734</v>
      </c>
      <c r="B1740" s="26"/>
      <c r="C1740" s="26"/>
      <c r="D1740" s="26"/>
      <c r="E1740" s="26"/>
      <c r="F1740" s="26"/>
      <c r="G1740" s="26"/>
      <c r="H1740" s="26"/>
      <c r="I1740" s="26"/>
      <c r="J1740" s="26"/>
    </row>
    <row r="1741" ht="15" customHeight="1">
      <c r="A1741" s="27">
        <v>1735</v>
      </c>
      <c r="B1741" s="27"/>
      <c r="C1741" s="27"/>
      <c r="D1741" s="27"/>
      <c r="E1741" s="27"/>
      <c r="F1741" s="27"/>
      <c r="G1741" s="27"/>
      <c r="H1741" s="27"/>
      <c r="I1741" s="27"/>
      <c r="J1741" s="27"/>
    </row>
    <row r="1742" ht="15" customHeight="1">
      <c r="A1742" s="26">
        <v>1736</v>
      </c>
      <c r="B1742" s="26"/>
      <c r="C1742" s="26"/>
      <c r="D1742" s="26"/>
      <c r="E1742" s="26"/>
      <c r="F1742" s="26"/>
      <c r="G1742" s="26"/>
      <c r="H1742" s="26"/>
      <c r="I1742" s="26"/>
      <c r="J1742" s="26"/>
    </row>
    <row r="1743" ht="15" customHeight="1">
      <c r="A1743" s="27">
        <v>1737</v>
      </c>
      <c r="B1743" s="27"/>
      <c r="C1743" s="27"/>
      <c r="D1743" s="27"/>
      <c r="E1743" s="27"/>
      <c r="F1743" s="27"/>
      <c r="G1743" s="27"/>
      <c r="H1743" s="27"/>
      <c r="I1743" s="27"/>
      <c r="J1743" s="27"/>
    </row>
    <row r="1744" ht="15" customHeight="1">
      <c r="A1744" s="26">
        <v>1738</v>
      </c>
      <c r="B1744" s="26"/>
      <c r="C1744" s="26"/>
      <c r="D1744" s="26"/>
      <c r="E1744" s="26"/>
      <c r="F1744" s="26"/>
      <c r="G1744" s="26"/>
      <c r="H1744" s="26"/>
      <c r="I1744" s="26"/>
      <c r="J1744" s="26"/>
    </row>
    <row r="1745" ht="15" customHeight="1">
      <c r="A1745" s="27">
        <v>1739</v>
      </c>
      <c r="B1745" s="27"/>
      <c r="C1745" s="27"/>
      <c r="D1745" s="27"/>
      <c r="E1745" s="27"/>
      <c r="F1745" s="27"/>
      <c r="G1745" s="27"/>
      <c r="H1745" s="27"/>
      <c r="I1745" s="27"/>
      <c r="J1745" s="27"/>
    </row>
    <row r="1746" ht="15" customHeight="1">
      <c r="A1746" s="26">
        <v>1740</v>
      </c>
      <c r="B1746" s="26"/>
      <c r="C1746" s="26"/>
      <c r="D1746" s="26"/>
      <c r="E1746" s="26"/>
      <c r="F1746" s="26"/>
      <c r="G1746" s="26"/>
      <c r="H1746" s="26"/>
      <c r="I1746" s="26"/>
      <c r="J1746" s="26"/>
    </row>
    <row r="1747" ht="15" customHeight="1">
      <c r="A1747" s="27">
        <v>1741</v>
      </c>
      <c r="B1747" s="27"/>
      <c r="C1747" s="27"/>
      <c r="D1747" s="27"/>
      <c r="E1747" s="27"/>
      <c r="F1747" s="27"/>
      <c r="G1747" s="27"/>
      <c r="H1747" s="27"/>
      <c r="I1747" s="27"/>
      <c r="J1747" s="27"/>
    </row>
    <row r="1748" ht="15" customHeight="1">
      <c r="A1748" s="26">
        <v>1742</v>
      </c>
      <c r="B1748" s="26"/>
      <c r="C1748" s="26"/>
      <c r="D1748" s="26"/>
      <c r="E1748" s="26"/>
      <c r="F1748" s="26"/>
      <c r="G1748" s="26"/>
      <c r="H1748" s="26"/>
      <c r="I1748" s="26"/>
      <c r="J1748" s="26"/>
    </row>
    <row r="1749" ht="15" customHeight="1">
      <c r="A1749" s="27">
        <v>1743</v>
      </c>
      <c r="B1749" s="27"/>
      <c r="C1749" s="27"/>
      <c r="D1749" s="27"/>
      <c r="E1749" s="27"/>
      <c r="F1749" s="27"/>
      <c r="G1749" s="27"/>
      <c r="H1749" s="27"/>
      <c r="I1749" s="27"/>
      <c r="J1749" s="27"/>
    </row>
    <row r="1750" ht="15" customHeight="1">
      <c r="A1750" s="26">
        <v>1744</v>
      </c>
      <c r="B1750" s="26"/>
      <c r="C1750" s="26"/>
      <c r="D1750" s="26"/>
      <c r="E1750" s="26"/>
      <c r="F1750" s="26"/>
      <c r="G1750" s="26"/>
      <c r="H1750" s="26"/>
      <c r="I1750" s="26"/>
      <c r="J1750" s="26"/>
    </row>
    <row r="1751" ht="15" customHeight="1">
      <c r="A1751" s="27">
        <v>1745</v>
      </c>
      <c r="B1751" s="27"/>
      <c r="C1751" s="27"/>
      <c r="D1751" s="27"/>
      <c r="E1751" s="27"/>
      <c r="F1751" s="27"/>
      <c r="G1751" s="27"/>
      <c r="H1751" s="27"/>
      <c r="I1751" s="27"/>
      <c r="J1751" s="27"/>
    </row>
    <row r="1752" ht="15" customHeight="1">
      <c r="A1752" s="26">
        <v>1746</v>
      </c>
      <c r="B1752" s="26"/>
      <c r="C1752" s="26"/>
      <c r="D1752" s="26"/>
      <c r="E1752" s="26"/>
      <c r="F1752" s="26"/>
      <c r="G1752" s="26"/>
      <c r="H1752" s="26"/>
      <c r="I1752" s="26"/>
      <c r="J1752" s="26"/>
    </row>
    <row r="1753" ht="15" customHeight="1">
      <c r="A1753" s="27">
        <v>1747</v>
      </c>
      <c r="B1753" s="27"/>
      <c r="C1753" s="27"/>
      <c r="D1753" s="27"/>
      <c r="E1753" s="27"/>
      <c r="F1753" s="27"/>
      <c r="G1753" s="27"/>
      <c r="H1753" s="27"/>
      <c r="I1753" s="27"/>
      <c r="J1753" s="27"/>
    </row>
    <row r="1754" ht="15" customHeight="1">
      <c r="A1754" s="26">
        <v>1748</v>
      </c>
      <c r="B1754" s="26"/>
      <c r="C1754" s="26"/>
      <c r="D1754" s="26"/>
      <c r="E1754" s="26"/>
      <c r="F1754" s="26"/>
      <c r="G1754" s="26"/>
      <c r="H1754" s="26"/>
      <c r="I1754" s="26"/>
      <c r="J1754" s="26"/>
    </row>
    <row r="1755" ht="15" customHeight="1">
      <c r="A1755" s="27">
        <v>1749</v>
      </c>
      <c r="B1755" s="27"/>
      <c r="C1755" s="27"/>
      <c r="D1755" s="27"/>
      <c r="E1755" s="27"/>
      <c r="F1755" s="27"/>
      <c r="G1755" s="27"/>
      <c r="H1755" s="27"/>
      <c r="I1755" s="27"/>
      <c r="J1755" s="27"/>
    </row>
    <row r="1756" ht="15" customHeight="1">
      <c r="A1756" s="26">
        <v>1750</v>
      </c>
      <c r="B1756" s="26"/>
      <c r="C1756" s="26"/>
      <c r="D1756" s="26"/>
      <c r="E1756" s="26"/>
      <c r="F1756" s="26"/>
      <c r="G1756" s="26"/>
      <c r="H1756" s="26"/>
      <c r="I1756" s="26"/>
      <c r="J1756" s="26"/>
    </row>
    <row r="1757" ht="15" customHeight="1">
      <c r="A1757" s="27">
        <v>1751</v>
      </c>
      <c r="B1757" s="27"/>
      <c r="C1757" s="27"/>
      <c r="D1757" s="27"/>
      <c r="E1757" s="27"/>
      <c r="F1757" s="27"/>
      <c r="G1757" s="27"/>
      <c r="H1757" s="27"/>
      <c r="I1757" s="27"/>
      <c r="J1757" s="27"/>
    </row>
    <row r="1758" ht="15" customHeight="1">
      <c r="A1758" s="26">
        <v>1752</v>
      </c>
      <c r="B1758" s="26"/>
      <c r="C1758" s="26"/>
      <c r="D1758" s="26"/>
      <c r="E1758" s="26"/>
      <c r="F1758" s="26"/>
      <c r="G1758" s="26"/>
      <c r="H1758" s="26"/>
      <c r="I1758" s="26"/>
      <c r="J1758" s="26"/>
    </row>
    <row r="1759" ht="15" customHeight="1">
      <c r="A1759" s="27">
        <v>1753</v>
      </c>
      <c r="B1759" s="27"/>
      <c r="C1759" s="27"/>
      <c r="D1759" s="27"/>
      <c r="E1759" s="27"/>
      <c r="F1759" s="27"/>
      <c r="G1759" s="27"/>
      <c r="H1759" s="27"/>
      <c r="I1759" s="27"/>
      <c r="J1759" s="27"/>
    </row>
    <row r="1760" ht="15" customHeight="1">
      <c r="A1760" s="26">
        <v>1754</v>
      </c>
      <c r="B1760" s="26"/>
      <c r="C1760" s="26"/>
      <c r="D1760" s="26"/>
      <c r="E1760" s="26"/>
      <c r="F1760" s="26"/>
      <c r="G1760" s="26"/>
      <c r="H1760" s="26"/>
      <c r="I1760" s="26"/>
      <c r="J1760" s="26"/>
    </row>
    <row r="1761" ht="15" customHeight="1">
      <c r="A1761" s="27">
        <v>1755</v>
      </c>
      <c r="B1761" s="27"/>
      <c r="C1761" s="27"/>
      <c r="D1761" s="27"/>
      <c r="E1761" s="27"/>
      <c r="F1761" s="27"/>
      <c r="G1761" s="27"/>
      <c r="H1761" s="27"/>
      <c r="I1761" s="27"/>
      <c r="J1761" s="27"/>
    </row>
    <row r="1762" ht="15" customHeight="1">
      <c r="A1762" s="26">
        <v>1756</v>
      </c>
      <c r="B1762" s="26"/>
      <c r="C1762" s="26"/>
      <c r="D1762" s="26"/>
      <c r="E1762" s="26"/>
      <c r="F1762" s="26"/>
      <c r="G1762" s="26"/>
      <c r="H1762" s="26"/>
      <c r="I1762" s="26"/>
      <c r="J1762" s="26"/>
    </row>
    <row r="1763" ht="15" customHeight="1">
      <c r="A1763" s="27">
        <v>1757</v>
      </c>
      <c r="B1763" s="27"/>
      <c r="C1763" s="27"/>
      <c r="D1763" s="27"/>
      <c r="E1763" s="27"/>
      <c r="F1763" s="27"/>
      <c r="G1763" s="27"/>
      <c r="H1763" s="27"/>
      <c r="I1763" s="27"/>
      <c r="J1763" s="27"/>
    </row>
    <row r="1764" ht="15" customHeight="1">
      <c r="A1764" s="26">
        <v>1758</v>
      </c>
      <c r="B1764" s="26"/>
      <c r="C1764" s="26"/>
      <c r="D1764" s="26"/>
      <c r="E1764" s="26"/>
      <c r="F1764" s="26"/>
      <c r="G1764" s="26"/>
      <c r="H1764" s="26"/>
      <c r="I1764" s="26"/>
      <c r="J1764" s="26"/>
    </row>
    <row r="1765" ht="15" customHeight="1">
      <c r="A1765" s="27">
        <v>1759</v>
      </c>
      <c r="B1765" s="27"/>
      <c r="C1765" s="27"/>
      <c r="D1765" s="27"/>
      <c r="E1765" s="27"/>
      <c r="F1765" s="27"/>
      <c r="G1765" s="27"/>
      <c r="H1765" s="27"/>
      <c r="I1765" s="27"/>
      <c r="J1765" s="27"/>
    </row>
    <row r="1766" ht="15" customHeight="1">
      <c r="A1766" s="26">
        <v>1760</v>
      </c>
      <c r="B1766" s="26"/>
      <c r="C1766" s="26"/>
      <c r="D1766" s="26"/>
      <c r="E1766" s="26"/>
      <c r="F1766" s="26"/>
      <c r="G1766" s="26"/>
      <c r="H1766" s="26"/>
      <c r="I1766" s="26"/>
      <c r="J1766" s="26"/>
    </row>
    <row r="1767" ht="15" customHeight="1">
      <c r="A1767" s="27">
        <v>1761</v>
      </c>
      <c r="B1767" s="27"/>
      <c r="C1767" s="27"/>
      <c r="D1767" s="27"/>
      <c r="E1767" s="27"/>
      <c r="F1767" s="27"/>
      <c r="G1767" s="27"/>
      <c r="H1767" s="27"/>
      <c r="I1767" s="27"/>
      <c r="J1767" s="27"/>
    </row>
    <row r="1768" ht="15" customHeight="1">
      <c r="A1768" s="26">
        <v>1762</v>
      </c>
      <c r="B1768" s="26"/>
      <c r="C1768" s="26"/>
      <c r="D1768" s="26"/>
      <c r="E1768" s="26"/>
      <c r="F1768" s="26"/>
      <c r="G1768" s="26"/>
      <c r="H1768" s="26"/>
      <c r="I1768" s="26"/>
      <c r="J1768" s="26"/>
    </row>
    <row r="1769" ht="15" customHeight="1">
      <c r="A1769" s="27">
        <v>1763</v>
      </c>
      <c r="B1769" s="27"/>
      <c r="C1769" s="27"/>
      <c r="D1769" s="27"/>
      <c r="E1769" s="27"/>
      <c r="F1769" s="27"/>
      <c r="G1769" s="27"/>
      <c r="H1769" s="27"/>
      <c r="I1769" s="27"/>
      <c r="J1769" s="27"/>
    </row>
    <row r="1770" ht="15" customHeight="1">
      <c r="A1770" s="26">
        <v>1764</v>
      </c>
      <c r="B1770" s="26"/>
      <c r="C1770" s="26"/>
      <c r="D1770" s="26"/>
      <c r="E1770" s="26"/>
      <c r="F1770" s="26"/>
      <c r="G1770" s="26"/>
      <c r="H1770" s="26"/>
      <c r="I1770" s="26"/>
      <c r="J1770" s="26"/>
    </row>
    <row r="1771" ht="15" customHeight="1">
      <c r="A1771" s="27">
        <v>1765</v>
      </c>
      <c r="B1771" s="27"/>
      <c r="C1771" s="27"/>
      <c r="D1771" s="27"/>
      <c r="E1771" s="27"/>
      <c r="F1771" s="27"/>
      <c r="G1771" s="27"/>
      <c r="H1771" s="27"/>
      <c r="I1771" s="27"/>
      <c r="J1771" s="27"/>
    </row>
    <row r="1772" ht="15" customHeight="1">
      <c r="A1772" s="26">
        <v>1766</v>
      </c>
      <c r="B1772" s="26"/>
      <c r="C1772" s="26"/>
      <c r="D1772" s="26"/>
      <c r="E1772" s="26"/>
      <c r="F1772" s="26"/>
      <c r="G1772" s="26"/>
      <c r="H1772" s="26"/>
      <c r="I1772" s="26"/>
      <c r="J1772" s="26"/>
    </row>
    <row r="1773" ht="15" customHeight="1">
      <c r="A1773" s="27">
        <v>1767</v>
      </c>
      <c r="B1773" s="27"/>
      <c r="C1773" s="27"/>
      <c r="D1773" s="27"/>
      <c r="E1773" s="27"/>
      <c r="F1773" s="27"/>
      <c r="G1773" s="27"/>
      <c r="H1773" s="27"/>
      <c r="I1773" s="27"/>
      <c r="J1773" s="27"/>
    </row>
    <row r="1774" ht="15" customHeight="1">
      <c r="A1774" s="26">
        <v>1768</v>
      </c>
      <c r="B1774" s="26"/>
      <c r="C1774" s="26"/>
      <c r="D1774" s="26"/>
      <c r="E1774" s="26"/>
      <c r="F1774" s="26"/>
      <c r="G1774" s="26"/>
      <c r="H1774" s="26"/>
      <c r="I1774" s="26"/>
      <c r="J1774" s="26"/>
    </row>
    <row r="1775" ht="15" customHeight="1">
      <c r="A1775" s="27">
        <v>1769</v>
      </c>
      <c r="B1775" s="27"/>
      <c r="C1775" s="27"/>
      <c r="D1775" s="27"/>
      <c r="E1775" s="27"/>
      <c r="F1775" s="27"/>
      <c r="G1775" s="27"/>
      <c r="H1775" s="27"/>
      <c r="I1775" s="27"/>
      <c r="J1775" s="27"/>
    </row>
    <row r="1776" ht="15" customHeight="1">
      <c r="A1776" s="26">
        <v>1770</v>
      </c>
      <c r="B1776" s="26"/>
      <c r="C1776" s="26"/>
      <c r="D1776" s="26"/>
      <c r="E1776" s="26"/>
      <c r="F1776" s="26"/>
      <c r="G1776" s="26"/>
      <c r="H1776" s="26"/>
      <c r="I1776" s="26"/>
      <c r="J1776" s="26"/>
    </row>
    <row r="1777" ht="15" customHeight="1">
      <c r="A1777" s="27">
        <v>1771</v>
      </c>
      <c r="B1777" s="27"/>
      <c r="C1777" s="27"/>
      <c r="D1777" s="27"/>
      <c r="E1777" s="27"/>
      <c r="F1777" s="27"/>
      <c r="G1777" s="27"/>
      <c r="H1777" s="27"/>
      <c r="I1777" s="27"/>
      <c r="J1777" s="27"/>
    </row>
    <row r="1778" ht="15" customHeight="1">
      <c r="A1778" s="26">
        <v>1772</v>
      </c>
      <c r="B1778" s="26"/>
      <c r="C1778" s="26"/>
      <c r="D1778" s="26"/>
      <c r="E1778" s="26"/>
      <c r="F1778" s="26"/>
      <c r="G1778" s="26"/>
      <c r="H1778" s="26"/>
      <c r="I1778" s="26"/>
      <c r="J1778" s="26"/>
    </row>
    <row r="1779" ht="15" customHeight="1">
      <c r="A1779" s="27">
        <v>1773</v>
      </c>
      <c r="B1779" s="27"/>
      <c r="C1779" s="27"/>
      <c r="D1779" s="27"/>
      <c r="E1779" s="27"/>
      <c r="F1779" s="27"/>
      <c r="G1779" s="27"/>
      <c r="H1779" s="27"/>
      <c r="I1779" s="27"/>
      <c r="J1779" s="27"/>
    </row>
    <row r="1780" ht="15" customHeight="1">
      <c r="A1780" s="26">
        <v>1774</v>
      </c>
      <c r="B1780" s="26"/>
      <c r="C1780" s="26"/>
      <c r="D1780" s="26"/>
      <c r="E1780" s="26"/>
      <c r="F1780" s="26"/>
      <c r="G1780" s="26"/>
      <c r="H1780" s="26"/>
      <c r="I1780" s="26"/>
      <c r="J1780" s="26"/>
    </row>
    <row r="1781" ht="15" customHeight="1">
      <c r="A1781" s="27">
        <v>1775</v>
      </c>
      <c r="B1781" s="27"/>
      <c r="C1781" s="27"/>
      <c r="D1781" s="27"/>
      <c r="E1781" s="27"/>
      <c r="F1781" s="27"/>
      <c r="G1781" s="27"/>
      <c r="H1781" s="27"/>
      <c r="I1781" s="27"/>
      <c r="J1781" s="27"/>
    </row>
    <row r="1782" ht="15" customHeight="1">
      <c r="A1782" s="26">
        <v>1776</v>
      </c>
      <c r="B1782" s="26"/>
      <c r="C1782" s="26"/>
      <c r="D1782" s="26"/>
      <c r="E1782" s="26"/>
      <c r="F1782" s="26"/>
      <c r="G1782" s="26"/>
      <c r="H1782" s="26"/>
      <c r="I1782" s="26"/>
      <c r="J1782" s="26"/>
    </row>
    <row r="1783" ht="15" customHeight="1">
      <c r="A1783" s="27">
        <v>1777</v>
      </c>
      <c r="B1783" s="27"/>
      <c r="C1783" s="27"/>
      <c r="D1783" s="27"/>
      <c r="E1783" s="27"/>
      <c r="F1783" s="27"/>
      <c r="G1783" s="27"/>
      <c r="H1783" s="27"/>
      <c r="I1783" s="27"/>
      <c r="J1783" s="27"/>
    </row>
    <row r="1784" ht="15" customHeight="1">
      <c r="A1784" s="26">
        <v>1778</v>
      </c>
      <c r="B1784" s="26"/>
      <c r="C1784" s="26"/>
      <c r="D1784" s="26"/>
      <c r="E1784" s="26"/>
      <c r="F1784" s="26"/>
      <c r="G1784" s="26"/>
      <c r="H1784" s="26"/>
      <c r="I1784" s="26"/>
      <c r="J1784" s="26"/>
    </row>
    <row r="1785" ht="15" customHeight="1">
      <c r="A1785" s="27">
        <v>1779</v>
      </c>
      <c r="B1785" s="27"/>
      <c r="C1785" s="27"/>
      <c r="D1785" s="27"/>
      <c r="E1785" s="27"/>
      <c r="F1785" s="27"/>
      <c r="G1785" s="27"/>
      <c r="H1785" s="27"/>
      <c r="I1785" s="27"/>
      <c r="J1785" s="27"/>
    </row>
    <row r="1786" ht="15" customHeight="1">
      <c r="A1786" s="26">
        <v>1780</v>
      </c>
      <c r="B1786" s="26"/>
      <c r="C1786" s="26"/>
      <c r="D1786" s="26"/>
      <c r="E1786" s="26"/>
      <c r="F1786" s="26"/>
      <c r="G1786" s="26"/>
      <c r="H1786" s="26"/>
      <c r="I1786" s="26"/>
      <c r="J1786" s="26"/>
    </row>
    <row r="1787" ht="15" customHeight="1">
      <c r="A1787" s="27">
        <v>1781</v>
      </c>
      <c r="B1787" s="27"/>
      <c r="C1787" s="27"/>
      <c r="D1787" s="27"/>
      <c r="E1787" s="27"/>
      <c r="F1787" s="27"/>
      <c r="G1787" s="27"/>
      <c r="H1787" s="27"/>
      <c r="I1787" s="27"/>
      <c r="J1787" s="27"/>
    </row>
    <row r="1788" ht="15" customHeight="1">
      <c r="A1788" s="26">
        <v>1782</v>
      </c>
      <c r="B1788" s="26"/>
      <c r="C1788" s="26"/>
      <c r="D1788" s="26"/>
      <c r="E1788" s="26"/>
      <c r="F1788" s="26"/>
      <c r="G1788" s="26"/>
      <c r="H1788" s="26"/>
      <c r="I1788" s="26"/>
      <c r="J1788" s="26"/>
    </row>
    <row r="1789" ht="15" customHeight="1">
      <c r="A1789" s="27">
        <v>1783</v>
      </c>
      <c r="B1789" s="27"/>
      <c r="C1789" s="27"/>
      <c r="D1789" s="27"/>
      <c r="E1789" s="27"/>
      <c r="F1789" s="27"/>
      <c r="G1789" s="27"/>
      <c r="H1789" s="27"/>
      <c r="I1789" s="27"/>
      <c r="J1789" s="27"/>
    </row>
    <row r="1790" ht="15" customHeight="1">
      <c r="A1790" s="26">
        <v>1784</v>
      </c>
      <c r="B1790" s="26"/>
      <c r="C1790" s="26"/>
      <c r="D1790" s="26"/>
      <c r="E1790" s="26"/>
      <c r="F1790" s="26"/>
      <c r="G1790" s="26"/>
      <c r="H1790" s="26"/>
      <c r="I1790" s="26"/>
      <c r="J1790" s="26"/>
    </row>
    <row r="1791" ht="15" customHeight="1">
      <c r="A1791" s="27">
        <v>1785</v>
      </c>
      <c r="B1791" s="27"/>
      <c r="C1791" s="27"/>
      <c r="D1791" s="27"/>
      <c r="E1791" s="27"/>
      <c r="F1791" s="27"/>
      <c r="G1791" s="27"/>
      <c r="H1791" s="27"/>
      <c r="I1791" s="27"/>
      <c r="J1791" s="27"/>
    </row>
    <row r="1792" ht="15" customHeight="1">
      <c r="A1792" s="26">
        <v>1786</v>
      </c>
      <c r="B1792" s="26"/>
      <c r="C1792" s="26"/>
      <c r="D1792" s="26"/>
      <c r="E1792" s="26"/>
      <c r="F1792" s="26"/>
      <c r="G1792" s="26"/>
      <c r="H1792" s="26"/>
      <c r="I1792" s="26"/>
      <c r="J1792" s="26"/>
    </row>
    <row r="1793" ht="15" customHeight="1">
      <c r="A1793" s="27">
        <v>1787</v>
      </c>
      <c r="B1793" s="27"/>
      <c r="C1793" s="27"/>
      <c r="D1793" s="27"/>
      <c r="E1793" s="27"/>
      <c r="F1793" s="27"/>
      <c r="G1793" s="27"/>
      <c r="H1793" s="27"/>
      <c r="I1793" s="27"/>
      <c r="J1793" s="27"/>
    </row>
    <row r="1794" ht="15" customHeight="1">
      <c r="A1794" s="26">
        <v>1788</v>
      </c>
      <c r="B1794" s="26"/>
      <c r="C1794" s="26"/>
      <c r="D1794" s="26"/>
      <c r="E1794" s="26"/>
      <c r="F1794" s="26"/>
      <c r="G1794" s="26"/>
      <c r="H1794" s="26"/>
      <c r="I1794" s="26"/>
      <c r="J1794" s="26"/>
    </row>
    <row r="1795" ht="15" customHeight="1">
      <c r="A1795" s="27">
        <v>1789</v>
      </c>
      <c r="B1795" s="27"/>
      <c r="C1795" s="27"/>
      <c r="D1795" s="27"/>
      <c r="E1795" s="27"/>
      <c r="F1795" s="27"/>
      <c r="G1795" s="27"/>
      <c r="H1795" s="27"/>
      <c r="I1795" s="27"/>
      <c r="J1795" s="27"/>
    </row>
    <row r="1796" ht="15" customHeight="1">
      <c r="A1796" s="26">
        <v>1790</v>
      </c>
      <c r="B1796" s="26"/>
      <c r="C1796" s="26"/>
      <c r="D1796" s="26"/>
      <c r="E1796" s="26"/>
      <c r="F1796" s="26"/>
      <c r="G1796" s="26"/>
      <c r="H1796" s="26"/>
      <c r="I1796" s="26"/>
      <c r="J1796" s="26"/>
    </row>
    <row r="1797" ht="15" customHeight="1">
      <c r="A1797" s="27">
        <v>1791</v>
      </c>
      <c r="B1797" s="27"/>
      <c r="C1797" s="27"/>
      <c r="D1797" s="27"/>
      <c r="E1797" s="27"/>
      <c r="F1797" s="27"/>
      <c r="G1797" s="27"/>
      <c r="H1797" s="27"/>
      <c r="I1797" s="27"/>
      <c r="J1797" s="27"/>
    </row>
    <row r="1798" ht="15" customHeight="1">
      <c r="A1798" s="26">
        <v>1792</v>
      </c>
      <c r="B1798" s="26"/>
      <c r="C1798" s="26"/>
      <c r="D1798" s="26"/>
      <c r="E1798" s="26"/>
      <c r="F1798" s="26"/>
      <c r="G1798" s="26"/>
      <c r="H1798" s="26"/>
      <c r="I1798" s="26"/>
      <c r="J1798" s="26"/>
    </row>
    <row r="1799" ht="15" customHeight="1">
      <c r="A1799" s="27">
        <v>1793</v>
      </c>
      <c r="B1799" s="27"/>
      <c r="C1799" s="27"/>
      <c r="D1799" s="27"/>
      <c r="E1799" s="27"/>
      <c r="F1799" s="27"/>
      <c r="G1799" s="27"/>
      <c r="H1799" s="27"/>
      <c r="I1799" s="27"/>
      <c r="J1799" s="27"/>
    </row>
    <row r="1800" ht="15" customHeight="1">
      <c r="A1800" s="26">
        <v>1794</v>
      </c>
      <c r="B1800" s="26"/>
      <c r="C1800" s="26"/>
      <c r="D1800" s="26"/>
      <c r="E1800" s="26"/>
      <c r="F1800" s="26"/>
      <c r="G1800" s="26"/>
      <c r="H1800" s="26"/>
      <c r="I1800" s="26"/>
      <c r="J1800" s="26"/>
    </row>
    <row r="1801" ht="15" customHeight="1">
      <c r="A1801" s="27">
        <v>1795</v>
      </c>
      <c r="B1801" s="27"/>
      <c r="C1801" s="27"/>
      <c r="D1801" s="27"/>
      <c r="E1801" s="27"/>
      <c r="F1801" s="27"/>
      <c r="G1801" s="27"/>
      <c r="H1801" s="27"/>
      <c r="I1801" s="27"/>
      <c r="J1801" s="27"/>
    </row>
    <row r="1802" ht="15" customHeight="1">
      <c r="A1802" s="26">
        <v>1796</v>
      </c>
      <c r="B1802" s="26"/>
      <c r="C1802" s="26"/>
      <c r="D1802" s="26"/>
      <c r="E1802" s="26"/>
      <c r="F1802" s="26"/>
      <c r="G1802" s="26"/>
      <c r="H1802" s="26"/>
      <c r="I1802" s="26"/>
      <c r="J1802" s="26"/>
    </row>
    <row r="1803" ht="15" customHeight="1">
      <c r="A1803" s="27">
        <v>1797</v>
      </c>
      <c r="B1803" s="27"/>
      <c r="C1803" s="27"/>
      <c r="D1803" s="27"/>
      <c r="E1803" s="27"/>
      <c r="F1803" s="27"/>
      <c r="G1803" s="27"/>
      <c r="H1803" s="27"/>
      <c r="I1803" s="27"/>
      <c r="J1803" s="27"/>
    </row>
    <row r="1804" ht="15" customHeight="1">
      <c r="A1804" s="26">
        <v>1798</v>
      </c>
      <c r="B1804" s="26"/>
      <c r="C1804" s="26"/>
      <c r="D1804" s="26"/>
      <c r="E1804" s="26"/>
      <c r="F1804" s="26"/>
      <c r="G1804" s="26"/>
      <c r="H1804" s="26"/>
      <c r="I1804" s="26"/>
      <c r="J1804" s="26"/>
    </row>
    <row r="1805" ht="15" customHeight="1">
      <c r="A1805" s="27">
        <v>1799</v>
      </c>
      <c r="B1805" s="27"/>
      <c r="C1805" s="27"/>
      <c r="D1805" s="27"/>
      <c r="E1805" s="27"/>
      <c r="F1805" s="27"/>
      <c r="G1805" s="27"/>
      <c r="H1805" s="27"/>
      <c r="I1805" s="27"/>
      <c r="J1805" s="27"/>
    </row>
    <row r="1806" ht="15" customHeight="1">
      <c r="A1806" s="26">
        <v>1800</v>
      </c>
      <c r="B1806" s="26"/>
      <c r="C1806" s="26"/>
      <c r="D1806" s="26"/>
      <c r="E1806" s="26"/>
      <c r="F1806" s="26"/>
      <c r="G1806" s="26"/>
      <c r="H1806" s="26"/>
      <c r="I1806" s="26"/>
      <c r="J1806" s="26"/>
    </row>
    <row r="1807" ht="15" customHeight="1">
      <c r="A1807" s="27">
        <v>1801</v>
      </c>
      <c r="B1807" s="27"/>
      <c r="C1807" s="27"/>
      <c r="D1807" s="27"/>
      <c r="E1807" s="27"/>
      <c r="F1807" s="27"/>
      <c r="G1807" s="27"/>
      <c r="H1807" s="27"/>
      <c r="I1807" s="27"/>
      <c r="J1807" s="27"/>
    </row>
    <row r="1808" ht="15" customHeight="1">
      <c r="A1808" s="26">
        <v>1802</v>
      </c>
      <c r="B1808" s="26"/>
      <c r="C1808" s="26"/>
      <c r="D1808" s="26"/>
      <c r="E1808" s="26"/>
      <c r="F1808" s="26"/>
      <c r="G1808" s="26"/>
      <c r="H1808" s="26"/>
      <c r="I1808" s="26"/>
      <c r="J1808" s="26"/>
    </row>
    <row r="1809" ht="15" customHeight="1">
      <c r="A1809" s="27">
        <v>1803</v>
      </c>
      <c r="B1809" s="27"/>
      <c r="C1809" s="27"/>
      <c r="D1809" s="27"/>
      <c r="E1809" s="27"/>
      <c r="F1809" s="27"/>
      <c r="G1809" s="27"/>
      <c r="H1809" s="27"/>
      <c r="I1809" s="27"/>
      <c r="J1809" s="27"/>
    </row>
    <row r="1810" ht="15" customHeight="1">
      <c r="A1810" s="26">
        <v>1804</v>
      </c>
      <c r="B1810" s="26"/>
      <c r="C1810" s="26"/>
      <c r="D1810" s="26"/>
      <c r="E1810" s="26"/>
      <c r="F1810" s="26"/>
      <c r="G1810" s="26"/>
      <c r="H1810" s="26"/>
      <c r="I1810" s="26"/>
      <c r="J1810" s="26"/>
    </row>
    <row r="1811" ht="15" customHeight="1">
      <c r="A1811" s="27">
        <v>1805</v>
      </c>
      <c r="B1811" s="27"/>
      <c r="C1811" s="27"/>
      <c r="D1811" s="27"/>
      <c r="E1811" s="27"/>
      <c r="F1811" s="27"/>
      <c r="G1811" s="27"/>
      <c r="H1811" s="27"/>
      <c r="I1811" s="27"/>
      <c r="J1811" s="27"/>
    </row>
    <row r="1812" ht="15" customHeight="1">
      <c r="A1812" s="26">
        <v>1806</v>
      </c>
      <c r="B1812" s="26"/>
      <c r="C1812" s="26"/>
      <c r="D1812" s="26"/>
      <c r="E1812" s="26"/>
      <c r="F1812" s="26"/>
      <c r="G1812" s="26"/>
      <c r="H1812" s="26"/>
      <c r="I1812" s="26"/>
      <c r="J1812" s="26"/>
    </row>
    <row r="1813" ht="15" customHeight="1">
      <c r="A1813" s="27">
        <v>1807</v>
      </c>
      <c r="B1813" s="27"/>
      <c r="C1813" s="27"/>
      <c r="D1813" s="27"/>
      <c r="E1813" s="27"/>
      <c r="F1813" s="27"/>
      <c r="G1813" s="27"/>
      <c r="H1813" s="27"/>
      <c r="I1813" s="27"/>
      <c r="J1813" s="27"/>
    </row>
    <row r="1814" ht="15" customHeight="1">
      <c r="A1814" s="26">
        <v>1808</v>
      </c>
      <c r="B1814" s="26"/>
      <c r="C1814" s="26"/>
      <c r="D1814" s="26"/>
      <c r="E1814" s="26"/>
      <c r="F1814" s="26"/>
      <c r="G1814" s="26"/>
      <c r="H1814" s="26"/>
      <c r="I1814" s="26"/>
      <c r="J1814" s="26"/>
    </row>
    <row r="1815" ht="15" customHeight="1">
      <c r="A1815" s="27">
        <v>1809</v>
      </c>
      <c r="B1815" s="27"/>
      <c r="C1815" s="27"/>
      <c r="D1815" s="27"/>
      <c r="E1815" s="27"/>
      <c r="F1815" s="27"/>
      <c r="G1815" s="27"/>
      <c r="H1815" s="27"/>
      <c r="I1815" s="27"/>
      <c r="J1815" s="27"/>
    </row>
    <row r="1816" ht="15" customHeight="1">
      <c r="A1816" s="26">
        <v>1810</v>
      </c>
      <c r="B1816" s="26"/>
      <c r="C1816" s="26"/>
      <c r="D1816" s="26"/>
      <c r="E1816" s="26"/>
      <c r="F1816" s="26"/>
      <c r="G1816" s="26"/>
      <c r="H1816" s="26"/>
      <c r="I1816" s="26"/>
      <c r="J1816" s="26"/>
    </row>
    <row r="1817" ht="15" customHeight="1">
      <c r="A1817" s="27">
        <v>1811</v>
      </c>
      <c r="B1817" s="27"/>
      <c r="C1817" s="27"/>
      <c r="D1817" s="27"/>
      <c r="E1817" s="27"/>
      <c r="F1817" s="27"/>
      <c r="G1817" s="27"/>
      <c r="H1817" s="27"/>
      <c r="I1817" s="27"/>
      <c r="J1817" s="27"/>
    </row>
    <row r="1818" ht="15" customHeight="1">
      <c r="A1818" s="26">
        <v>1812</v>
      </c>
      <c r="B1818" s="26"/>
      <c r="C1818" s="26"/>
      <c r="D1818" s="26"/>
      <c r="E1818" s="26"/>
      <c r="F1818" s="26"/>
      <c r="G1818" s="26"/>
      <c r="H1818" s="26"/>
      <c r="I1818" s="26"/>
      <c r="J1818" s="26"/>
    </row>
    <row r="1819" ht="15" customHeight="1">
      <c r="A1819" s="27">
        <v>1813</v>
      </c>
      <c r="B1819" s="27"/>
      <c r="C1819" s="27"/>
      <c r="D1819" s="27"/>
      <c r="E1819" s="27"/>
      <c r="F1819" s="27"/>
      <c r="G1819" s="27"/>
      <c r="H1819" s="27"/>
      <c r="I1819" s="27"/>
      <c r="J1819" s="27"/>
    </row>
    <row r="1820" ht="15" customHeight="1">
      <c r="A1820" s="26">
        <v>1814</v>
      </c>
      <c r="B1820" s="26"/>
      <c r="C1820" s="26"/>
      <c r="D1820" s="26"/>
      <c r="E1820" s="26"/>
      <c r="F1820" s="26"/>
      <c r="G1820" s="26"/>
      <c r="H1820" s="26"/>
      <c r="I1820" s="26"/>
      <c r="J1820" s="26"/>
    </row>
    <row r="1821" ht="15" customHeight="1">
      <c r="A1821" s="27">
        <v>1815</v>
      </c>
      <c r="B1821" s="27"/>
      <c r="C1821" s="27"/>
      <c r="D1821" s="27"/>
      <c r="E1821" s="27"/>
      <c r="F1821" s="27"/>
      <c r="G1821" s="27"/>
      <c r="H1821" s="27"/>
      <c r="I1821" s="27"/>
      <c r="J1821" s="27"/>
    </row>
    <row r="1822" ht="15" customHeight="1">
      <c r="A1822" s="26">
        <v>1816</v>
      </c>
      <c r="B1822" s="26"/>
      <c r="C1822" s="26"/>
      <c r="D1822" s="26"/>
      <c r="E1822" s="26"/>
      <c r="F1822" s="26"/>
      <c r="G1822" s="26"/>
      <c r="H1822" s="26"/>
      <c r="I1822" s="26"/>
      <c r="J1822" s="26"/>
    </row>
    <row r="1823" ht="15" customHeight="1">
      <c r="A1823" s="27">
        <v>1817</v>
      </c>
      <c r="B1823" s="27"/>
      <c r="C1823" s="27"/>
      <c r="D1823" s="27"/>
      <c r="E1823" s="27"/>
      <c r="F1823" s="27"/>
      <c r="G1823" s="27"/>
      <c r="H1823" s="27"/>
      <c r="I1823" s="27"/>
      <c r="J1823" s="27"/>
    </row>
    <row r="1824" ht="15" customHeight="1">
      <c r="A1824" s="26">
        <v>1818</v>
      </c>
      <c r="B1824" s="26"/>
      <c r="C1824" s="26"/>
      <c r="D1824" s="26"/>
      <c r="E1824" s="26"/>
      <c r="F1824" s="26"/>
      <c r="G1824" s="26"/>
      <c r="H1824" s="26"/>
      <c r="I1824" s="26"/>
      <c r="J1824" s="26"/>
    </row>
    <row r="1825" ht="15" customHeight="1">
      <c r="A1825" s="27">
        <v>1819</v>
      </c>
      <c r="B1825" s="27"/>
      <c r="C1825" s="27"/>
      <c r="D1825" s="27"/>
      <c r="E1825" s="27"/>
      <c r="F1825" s="27"/>
      <c r="G1825" s="27"/>
      <c r="H1825" s="27"/>
      <c r="I1825" s="27"/>
      <c r="J1825" s="27"/>
    </row>
    <row r="1826" ht="15" customHeight="1">
      <c r="A1826" s="26">
        <v>1820</v>
      </c>
      <c r="B1826" s="26"/>
      <c r="C1826" s="26"/>
      <c r="D1826" s="26"/>
      <c r="E1826" s="26"/>
      <c r="F1826" s="26"/>
      <c r="G1826" s="26"/>
      <c r="H1826" s="26"/>
      <c r="I1826" s="26"/>
      <c r="J1826" s="26"/>
    </row>
    <row r="1827" ht="15" customHeight="1">
      <c r="A1827" s="27">
        <v>1821</v>
      </c>
      <c r="B1827" s="27"/>
      <c r="C1827" s="27"/>
      <c r="D1827" s="27"/>
      <c r="E1827" s="27"/>
      <c r="F1827" s="27"/>
      <c r="G1827" s="27"/>
      <c r="H1827" s="27"/>
      <c r="I1827" s="27"/>
      <c r="J1827" s="27"/>
    </row>
    <row r="1828" ht="15" customHeight="1">
      <c r="A1828" s="26">
        <v>1822</v>
      </c>
      <c r="B1828" s="26"/>
      <c r="C1828" s="26"/>
      <c r="D1828" s="26"/>
      <c r="E1828" s="26"/>
      <c r="F1828" s="26"/>
      <c r="G1828" s="26"/>
      <c r="H1828" s="26"/>
      <c r="I1828" s="26"/>
      <c r="J1828" s="26"/>
    </row>
    <row r="1829" ht="15" customHeight="1">
      <c r="A1829" s="27">
        <v>1823</v>
      </c>
      <c r="B1829" s="27"/>
      <c r="C1829" s="27"/>
      <c r="D1829" s="27"/>
      <c r="E1829" s="27"/>
      <c r="F1829" s="27"/>
      <c r="G1829" s="27"/>
      <c r="H1829" s="27"/>
      <c r="I1829" s="27"/>
      <c r="J1829" s="27"/>
    </row>
    <row r="1830" ht="15" customHeight="1">
      <c r="A1830" s="26">
        <v>1824</v>
      </c>
      <c r="B1830" s="26"/>
      <c r="C1830" s="26"/>
      <c r="D1830" s="26"/>
      <c r="E1830" s="26"/>
      <c r="F1830" s="26"/>
      <c r="G1830" s="26"/>
      <c r="H1830" s="26"/>
      <c r="I1830" s="26"/>
      <c r="J1830" s="26"/>
    </row>
    <row r="1831" ht="15" customHeight="1">
      <c r="A1831" s="27">
        <v>1825</v>
      </c>
      <c r="B1831" s="27"/>
      <c r="C1831" s="27"/>
      <c r="D1831" s="27"/>
      <c r="E1831" s="27"/>
      <c r="F1831" s="27"/>
      <c r="G1831" s="27"/>
      <c r="H1831" s="27"/>
      <c r="I1831" s="27"/>
      <c r="J1831" s="27"/>
    </row>
    <row r="1832" ht="15" customHeight="1">
      <c r="A1832" s="26">
        <v>1826</v>
      </c>
      <c r="B1832" s="26"/>
      <c r="C1832" s="26"/>
      <c r="D1832" s="26"/>
      <c r="E1832" s="26"/>
      <c r="F1832" s="26"/>
      <c r="G1832" s="26"/>
      <c r="H1832" s="26"/>
      <c r="I1832" s="26"/>
      <c r="J1832" s="26"/>
    </row>
    <row r="1833" ht="15" customHeight="1">
      <c r="A1833" s="27">
        <v>1827</v>
      </c>
      <c r="B1833" s="27"/>
      <c r="C1833" s="27"/>
      <c r="D1833" s="27"/>
      <c r="E1833" s="27"/>
      <c r="F1833" s="27"/>
      <c r="G1833" s="27"/>
      <c r="H1833" s="27"/>
      <c r="I1833" s="27"/>
      <c r="J1833" s="27"/>
    </row>
    <row r="1834" ht="15" customHeight="1">
      <c r="A1834" s="26">
        <v>1828</v>
      </c>
      <c r="B1834" s="26"/>
      <c r="C1834" s="26"/>
      <c r="D1834" s="26"/>
      <c r="E1834" s="26"/>
      <c r="F1834" s="26"/>
      <c r="G1834" s="26"/>
      <c r="H1834" s="26"/>
      <c r="I1834" s="26"/>
      <c r="J1834" s="26"/>
    </row>
    <row r="1835" ht="15" customHeight="1">
      <c r="A1835" s="27">
        <v>1829</v>
      </c>
      <c r="B1835" s="27"/>
      <c r="C1835" s="27"/>
      <c r="D1835" s="27"/>
      <c r="E1835" s="27"/>
      <c r="F1835" s="27"/>
      <c r="G1835" s="27"/>
      <c r="H1835" s="27"/>
      <c r="I1835" s="27"/>
      <c r="J1835" s="27"/>
    </row>
    <row r="1836" ht="15" customHeight="1">
      <c r="A1836" s="26">
        <v>1830</v>
      </c>
      <c r="B1836" s="26"/>
      <c r="C1836" s="26"/>
      <c r="D1836" s="26"/>
      <c r="E1836" s="26"/>
      <c r="F1836" s="26"/>
      <c r="G1836" s="26"/>
      <c r="H1836" s="26"/>
      <c r="I1836" s="26"/>
      <c r="J1836" s="26"/>
    </row>
    <row r="1837" ht="15" customHeight="1">
      <c r="A1837" s="27">
        <v>1831</v>
      </c>
      <c r="B1837" s="27"/>
      <c r="C1837" s="27"/>
      <c r="D1837" s="27"/>
      <c r="E1837" s="27"/>
      <c r="F1837" s="27"/>
      <c r="G1837" s="27"/>
      <c r="H1837" s="27"/>
      <c r="I1837" s="27"/>
      <c r="J1837" s="27"/>
    </row>
    <row r="1838" ht="15" customHeight="1">
      <c r="A1838" s="26">
        <v>1832</v>
      </c>
      <c r="B1838" s="26"/>
      <c r="C1838" s="26"/>
      <c r="D1838" s="26"/>
      <c r="E1838" s="26"/>
      <c r="F1838" s="26"/>
      <c r="G1838" s="26"/>
      <c r="H1838" s="26"/>
      <c r="I1838" s="26"/>
      <c r="J1838" s="26"/>
    </row>
    <row r="1839" ht="15" customHeight="1">
      <c r="A1839" s="27">
        <v>1833</v>
      </c>
      <c r="B1839" s="27"/>
      <c r="C1839" s="27"/>
      <c r="D1839" s="27"/>
      <c r="E1839" s="27"/>
      <c r="F1839" s="27"/>
      <c r="G1839" s="27"/>
      <c r="H1839" s="27"/>
      <c r="I1839" s="27"/>
      <c r="J1839" s="27"/>
    </row>
    <row r="1840" ht="15" customHeight="1">
      <c r="A1840" s="26">
        <v>1834</v>
      </c>
      <c r="B1840" s="26"/>
      <c r="C1840" s="26"/>
      <c r="D1840" s="26"/>
      <c r="E1840" s="26"/>
      <c r="F1840" s="26"/>
      <c r="G1840" s="26"/>
      <c r="H1840" s="26"/>
      <c r="I1840" s="26"/>
      <c r="J1840" s="26"/>
    </row>
    <row r="1841" ht="15" customHeight="1">
      <c r="A1841" s="27">
        <v>1835</v>
      </c>
      <c r="B1841" s="27"/>
      <c r="C1841" s="27"/>
      <c r="D1841" s="27"/>
      <c r="E1841" s="27"/>
      <c r="F1841" s="27"/>
      <c r="G1841" s="27"/>
      <c r="H1841" s="27"/>
      <c r="I1841" s="27"/>
      <c r="J1841" s="27"/>
    </row>
    <row r="1842" ht="15" customHeight="1">
      <c r="A1842" s="26">
        <v>1836</v>
      </c>
      <c r="B1842" s="26"/>
      <c r="C1842" s="26"/>
      <c r="D1842" s="26"/>
      <c r="E1842" s="26"/>
      <c r="F1842" s="26"/>
      <c r="G1842" s="26"/>
      <c r="H1842" s="26"/>
      <c r="I1842" s="26"/>
      <c r="J1842" s="26"/>
    </row>
    <row r="1843" ht="15" customHeight="1">
      <c r="A1843" s="27">
        <v>1837</v>
      </c>
      <c r="B1843" s="27"/>
      <c r="C1843" s="27"/>
      <c r="D1843" s="27"/>
      <c r="E1843" s="27"/>
      <c r="F1843" s="27"/>
      <c r="G1843" s="27"/>
      <c r="H1843" s="27"/>
      <c r="I1843" s="27"/>
      <c r="J1843" s="27"/>
    </row>
    <row r="1844" ht="15" customHeight="1">
      <c r="A1844" s="26">
        <v>1838</v>
      </c>
      <c r="B1844" s="26"/>
      <c r="C1844" s="26"/>
      <c r="D1844" s="26"/>
      <c r="E1844" s="26"/>
      <c r="F1844" s="26"/>
      <c r="G1844" s="26"/>
      <c r="H1844" s="26"/>
      <c r="I1844" s="26"/>
      <c r="J1844" s="26"/>
    </row>
    <row r="1845" ht="15" customHeight="1">
      <c r="A1845" s="27">
        <v>1839</v>
      </c>
      <c r="B1845" s="27"/>
      <c r="C1845" s="27"/>
      <c r="D1845" s="27"/>
      <c r="E1845" s="27"/>
      <c r="F1845" s="27"/>
      <c r="G1845" s="27"/>
      <c r="H1845" s="27"/>
      <c r="I1845" s="27"/>
      <c r="J1845" s="27"/>
    </row>
    <row r="1846" ht="15" customHeight="1">
      <c r="A1846" s="26">
        <v>1840</v>
      </c>
      <c r="B1846" s="26"/>
      <c r="C1846" s="26"/>
      <c r="D1846" s="26"/>
      <c r="E1846" s="26"/>
      <c r="F1846" s="26"/>
      <c r="G1846" s="26"/>
      <c r="H1846" s="26"/>
      <c r="I1846" s="26"/>
      <c r="J1846" s="26"/>
    </row>
    <row r="1847" ht="15" customHeight="1">
      <c r="A1847" s="27">
        <v>1841</v>
      </c>
      <c r="B1847" s="27"/>
      <c r="C1847" s="27"/>
      <c r="D1847" s="27"/>
      <c r="E1847" s="27"/>
      <c r="F1847" s="27"/>
      <c r="G1847" s="27"/>
      <c r="H1847" s="27"/>
      <c r="I1847" s="27"/>
      <c r="J1847" s="27"/>
    </row>
    <row r="1848" ht="15" customHeight="1">
      <c r="A1848" s="26">
        <v>1842</v>
      </c>
      <c r="B1848" s="26"/>
      <c r="C1848" s="26"/>
      <c r="D1848" s="26"/>
      <c r="E1848" s="26"/>
      <c r="F1848" s="26"/>
      <c r="G1848" s="26"/>
      <c r="H1848" s="26"/>
      <c r="I1848" s="26"/>
      <c r="J1848" s="26"/>
    </row>
    <row r="1849" ht="15" customHeight="1">
      <c r="A1849" s="27">
        <v>1843</v>
      </c>
      <c r="B1849" s="27"/>
      <c r="C1849" s="27"/>
      <c r="D1849" s="27"/>
      <c r="E1849" s="27"/>
      <c r="F1849" s="27"/>
      <c r="G1849" s="27"/>
      <c r="H1849" s="27"/>
      <c r="I1849" s="27"/>
      <c r="J1849" s="27"/>
    </row>
    <row r="1850" ht="15" customHeight="1">
      <c r="A1850" s="26">
        <v>1844</v>
      </c>
      <c r="B1850" s="26"/>
      <c r="C1850" s="26"/>
      <c r="D1850" s="26"/>
      <c r="E1850" s="26"/>
      <c r="F1850" s="26"/>
      <c r="G1850" s="26"/>
      <c r="H1850" s="26"/>
      <c r="I1850" s="26"/>
      <c r="J1850" s="26"/>
    </row>
    <row r="1851" ht="15" customHeight="1">
      <c r="A1851" s="27">
        <v>1845</v>
      </c>
      <c r="B1851" s="27"/>
      <c r="C1851" s="27"/>
      <c r="D1851" s="27"/>
      <c r="E1851" s="27"/>
      <c r="F1851" s="27"/>
      <c r="G1851" s="27"/>
      <c r="H1851" s="27"/>
      <c r="I1851" s="27"/>
      <c r="J1851" s="27"/>
    </row>
    <row r="1852" ht="15" customHeight="1">
      <c r="A1852" s="26">
        <v>1846</v>
      </c>
      <c r="B1852" s="26"/>
      <c r="C1852" s="26"/>
      <c r="D1852" s="26"/>
      <c r="E1852" s="26"/>
      <c r="F1852" s="26"/>
      <c r="G1852" s="26"/>
      <c r="H1852" s="26"/>
      <c r="I1852" s="26"/>
      <c r="J1852" s="26"/>
    </row>
    <row r="1853" ht="15" customHeight="1">
      <c r="A1853" s="27">
        <v>1847</v>
      </c>
      <c r="B1853" s="27"/>
      <c r="C1853" s="27"/>
      <c r="D1853" s="27"/>
      <c r="E1853" s="27"/>
      <c r="F1853" s="27"/>
      <c r="G1853" s="27"/>
      <c r="H1853" s="27"/>
      <c r="I1853" s="27"/>
      <c r="J1853" s="27"/>
    </row>
    <row r="1854" ht="15" customHeight="1">
      <c r="A1854" s="26">
        <v>1848</v>
      </c>
      <c r="B1854" s="26"/>
      <c r="C1854" s="26"/>
      <c r="D1854" s="26"/>
      <c r="E1854" s="26"/>
      <c r="F1854" s="26"/>
      <c r="G1854" s="26"/>
      <c r="H1854" s="26"/>
      <c r="I1854" s="26"/>
      <c r="J1854" s="26"/>
    </row>
    <row r="1855" ht="15" customHeight="1">
      <c r="A1855" s="27">
        <v>1849</v>
      </c>
      <c r="B1855" s="27"/>
      <c r="C1855" s="27"/>
      <c r="D1855" s="27"/>
      <c r="E1855" s="27"/>
      <c r="F1855" s="27"/>
      <c r="G1855" s="27"/>
      <c r="H1855" s="27"/>
      <c r="I1855" s="27"/>
      <c r="J1855" s="27"/>
    </row>
    <row r="1856" ht="15" customHeight="1">
      <c r="A1856" s="26">
        <v>1850</v>
      </c>
      <c r="B1856" s="26"/>
      <c r="C1856" s="26"/>
      <c r="D1856" s="26"/>
      <c r="E1856" s="26"/>
      <c r="F1856" s="26"/>
      <c r="G1856" s="26"/>
      <c r="H1856" s="26"/>
      <c r="I1856" s="26"/>
      <c r="J1856" s="26"/>
    </row>
    <row r="1857" ht="15" customHeight="1">
      <c r="A1857" s="27">
        <v>1851</v>
      </c>
      <c r="B1857" s="27"/>
      <c r="C1857" s="27"/>
      <c r="D1857" s="27"/>
      <c r="E1857" s="27"/>
      <c r="F1857" s="27"/>
      <c r="G1857" s="27"/>
      <c r="H1857" s="27"/>
      <c r="I1857" s="27"/>
      <c r="J1857" s="27"/>
    </row>
    <row r="1858" ht="15" customHeight="1">
      <c r="A1858" s="26">
        <v>1852</v>
      </c>
      <c r="B1858" s="26"/>
      <c r="C1858" s="26"/>
      <c r="D1858" s="26"/>
      <c r="E1858" s="26"/>
      <c r="F1858" s="26"/>
      <c r="G1858" s="26"/>
      <c r="H1858" s="26"/>
      <c r="I1858" s="26"/>
      <c r="J1858" s="26"/>
    </row>
    <row r="1859" ht="15" customHeight="1">
      <c r="A1859" s="27">
        <v>1853</v>
      </c>
      <c r="B1859" s="27"/>
      <c r="C1859" s="27"/>
      <c r="D1859" s="27"/>
      <c r="E1859" s="27"/>
      <c r="F1859" s="27"/>
      <c r="G1859" s="27"/>
      <c r="H1859" s="27"/>
      <c r="I1859" s="27"/>
      <c r="J1859" s="27"/>
    </row>
    <row r="1860" ht="15" customHeight="1">
      <c r="A1860" s="26">
        <v>1854</v>
      </c>
      <c r="B1860" s="26"/>
      <c r="C1860" s="26"/>
      <c r="D1860" s="26"/>
      <c r="E1860" s="26"/>
      <c r="F1860" s="26"/>
      <c r="G1860" s="26"/>
      <c r="H1860" s="26"/>
      <c r="I1860" s="26"/>
      <c r="J1860" s="26"/>
    </row>
    <row r="1861" ht="15" customHeight="1">
      <c r="A1861" s="27">
        <v>1855</v>
      </c>
      <c r="B1861" s="27"/>
      <c r="C1861" s="27"/>
      <c r="D1861" s="27"/>
      <c r="E1861" s="27"/>
      <c r="F1861" s="27"/>
      <c r="G1861" s="27"/>
      <c r="H1861" s="27"/>
      <c r="I1861" s="27"/>
      <c r="J1861" s="27"/>
    </row>
    <row r="1862" ht="15" customHeight="1">
      <c r="A1862" s="26">
        <v>1856</v>
      </c>
      <c r="B1862" s="26"/>
      <c r="C1862" s="26"/>
      <c r="D1862" s="26"/>
      <c r="E1862" s="26"/>
      <c r="F1862" s="26"/>
      <c r="G1862" s="26"/>
      <c r="H1862" s="26"/>
      <c r="I1862" s="26"/>
      <c r="J1862" s="26"/>
    </row>
    <row r="1863" ht="15" customHeight="1">
      <c r="A1863" s="27">
        <v>1857</v>
      </c>
      <c r="B1863" s="27"/>
      <c r="C1863" s="27"/>
      <c r="D1863" s="27"/>
      <c r="E1863" s="27"/>
      <c r="F1863" s="27"/>
      <c r="G1863" s="27"/>
      <c r="H1863" s="27"/>
      <c r="I1863" s="27"/>
      <c r="J1863" s="27"/>
    </row>
    <row r="1864" ht="15" customHeight="1">
      <c r="A1864" s="26">
        <v>1858</v>
      </c>
      <c r="B1864" s="26"/>
      <c r="C1864" s="26"/>
      <c r="D1864" s="26"/>
      <c r="E1864" s="26"/>
      <c r="F1864" s="26"/>
      <c r="G1864" s="26"/>
      <c r="H1864" s="26"/>
      <c r="I1864" s="26"/>
      <c r="J1864" s="26"/>
    </row>
    <row r="1865" ht="15" customHeight="1">
      <c r="A1865" s="27">
        <v>1859</v>
      </c>
      <c r="B1865" s="27"/>
      <c r="C1865" s="27"/>
      <c r="D1865" s="27"/>
      <c r="E1865" s="27"/>
      <c r="F1865" s="27"/>
      <c r="G1865" s="27"/>
      <c r="H1865" s="27"/>
      <c r="I1865" s="27"/>
      <c r="J1865" s="27"/>
    </row>
    <row r="1866" ht="15" customHeight="1">
      <c r="A1866" s="26">
        <v>1860</v>
      </c>
      <c r="B1866" s="26"/>
      <c r="C1866" s="26"/>
      <c r="D1866" s="26"/>
      <c r="E1866" s="26"/>
      <c r="F1866" s="26"/>
      <c r="G1866" s="26"/>
      <c r="H1866" s="26"/>
      <c r="I1866" s="26"/>
      <c r="J1866" s="26"/>
    </row>
    <row r="1867" ht="15" customHeight="1">
      <c r="A1867" s="27">
        <v>1861</v>
      </c>
      <c r="B1867" s="27"/>
      <c r="C1867" s="27"/>
      <c r="D1867" s="27"/>
      <c r="E1867" s="27"/>
      <c r="F1867" s="27"/>
      <c r="G1867" s="27"/>
      <c r="H1867" s="27"/>
      <c r="I1867" s="27"/>
      <c r="J1867" s="27"/>
    </row>
    <row r="1868" ht="15" customHeight="1">
      <c r="A1868" s="26">
        <v>1862</v>
      </c>
      <c r="B1868" s="26"/>
      <c r="C1868" s="26"/>
      <c r="D1868" s="26"/>
      <c r="E1868" s="26"/>
      <c r="F1868" s="26"/>
      <c r="G1868" s="26"/>
      <c r="H1868" s="26"/>
      <c r="I1868" s="26"/>
      <c r="J1868" s="26"/>
    </row>
    <row r="1869" ht="15" customHeight="1">
      <c r="A1869" s="27">
        <v>1863</v>
      </c>
      <c r="B1869" s="27"/>
      <c r="C1869" s="27"/>
      <c r="D1869" s="27"/>
      <c r="E1869" s="27"/>
      <c r="F1869" s="27"/>
      <c r="G1869" s="27"/>
      <c r="H1869" s="27"/>
      <c r="I1869" s="27"/>
      <c r="J1869" s="27"/>
    </row>
    <row r="1870" ht="15" customHeight="1">
      <c r="A1870" s="26">
        <v>1864</v>
      </c>
      <c r="B1870" s="26"/>
      <c r="C1870" s="26"/>
      <c r="D1870" s="26"/>
      <c r="E1870" s="26"/>
      <c r="F1870" s="26"/>
      <c r="G1870" s="26"/>
      <c r="H1870" s="26"/>
      <c r="I1870" s="26"/>
      <c r="J1870" s="26"/>
    </row>
    <row r="1871" ht="15" customHeight="1">
      <c r="A1871" s="27">
        <v>1865</v>
      </c>
      <c r="B1871" s="27"/>
      <c r="C1871" s="27"/>
      <c r="D1871" s="27"/>
      <c r="E1871" s="27"/>
      <c r="F1871" s="27"/>
      <c r="G1871" s="27"/>
      <c r="H1871" s="27"/>
      <c r="I1871" s="27"/>
      <c r="J1871" s="27"/>
    </row>
    <row r="1872" ht="15" customHeight="1">
      <c r="A1872" s="26">
        <v>1866</v>
      </c>
      <c r="B1872" s="26"/>
      <c r="C1872" s="26"/>
      <c r="D1872" s="26"/>
      <c r="E1872" s="26"/>
      <c r="F1872" s="26"/>
      <c r="G1872" s="26"/>
      <c r="H1872" s="26"/>
      <c r="I1872" s="26"/>
      <c r="J1872" s="26"/>
    </row>
    <row r="1873" ht="15" customHeight="1">
      <c r="A1873" s="27">
        <v>1867</v>
      </c>
      <c r="B1873" s="27"/>
      <c r="C1873" s="27"/>
      <c r="D1873" s="27"/>
      <c r="E1873" s="27"/>
      <c r="F1873" s="27"/>
      <c r="G1873" s="27"/>
      <c r="H1873" s="27"/>
      <c r="I1873" s="27"/>
      <c r="J1873" s="27"/>
    </row>
    <row r="1874" ht="15" customHeight="1">
      <c r="A1874" s="26">
        <v>1868</v>
      </c>
      <c r="B1874" s="26"/>
      <c r="C1874" s="26"/>
      <c r="D1874" s="26"/>
      <c r="E1874" s="26"/>
      <c r="F1874" s="26"/>
      <c r="G1874" s="26"/>
      <c r="H1874" s="26"/>
      <c r="I1874" s="26"/>
      <c r="J1874" s="26"/>
    </row>
    <row r="1875" ht="15" customHeight="1">
      <c r="A1875" s="27">
        <v>1869</v>
      </c>
      <c r="B1875" s="27"/>
      <c r="C1875" s="27"/>
      <c r="D1875" s="27"/>
      <c r="E1875" s="27"/>
      <c r="F1875" s="27"/>
      <c r="G1875" s="27"/>
      <c r="H1875" s="27"/>
      <c r="I1875" s="27"/>
      <c r="J1875" s="27"/>
    </row>
    <row r="1876" ht="15" customHeight="1">
      <c r="A1876" s="26">
        <v>1870</v>
      </c>
      <c r="B1876" s="26"/>
      <c r="C1876" s="26"/>
      <c r="D1876" s="26"/>
      <c r="E1876" s="26"/>
      <c r="F1876" s="26"/>
      <c r="G1876" s="26"/>
      <c r="H1876" s="26"/>
      <c r="I1876" s="26"/>
      <c r="J1876" s="26"/>
    </row>
    <row r="1877" ht="15" customHeight="1">
      <c r="A1877" s="27">
        <v>1871</v>
      </c>
      <c r="B1877" s="27"/>
      <c r="C1877" s="27"/>
      <c r="D1877" s="27"/>
      <c r="E1877" s="27"/>
      <c r="F1877" s="27"/>
      <c r="G1877" s="27"/>
      <c r="H1877" s="27"/>
      <c r="I1877" s="27"/>
      <c r="J1877" s="27"/>
    </row>
    <row r="1878" ht="15" customHeight="1">
      <c r="A1878" s="26">
        <v>1872</v>
      </c>
      <c r="B1878" s="26"/>
      <c r="C1878" s="26"/>
      <c r="D1878" s="26"/>
      <c r="E1878" s="26"/>
      <c r="F1878" s="26"/>
      <c r="G1878" s="26"/>
      <c r="H1878" s="26"/>
      <c r="I1878" s="26"/>
      <c r="J1878" s="26"/>
    </row>
    <row r="1879" ht="15" customHeight="1">
      <c r="A1879" s="27">
        <v>1873</v>
      </c>
      <c r="B1879" s="27"/>
      <c r="C1879" s="27"/>
      <c r="D1879" s="27"/>
      <c r="E1879" s="27"/>
      <c r="F1879" s="27"/>
      <c r="G1879" s="27"/>
      <c r="H1879" s="27"/>
      <c r="I1879" s="27"/>
      <c r="J1879" s="27"/>
    </row>
    <row r="1880" ht="15" customHeight="1">
      <c r="A1880" s="26">
        <v>1874</v>
      </c>
      <c r="B1880" s="26"/>
      <c r="C1880" s="26"/>
      <c r="D1880" s="26"/>
      <c r="E1880" s="26"/>
      <c r="F1880" s="26"/>
      <c r="G1880" s="26"/>
      <c r="H1880" s="26"/>
      <c r="I1880" s="26"/>
      <c r="J1880" s="26"/>
    </row>
    <row r="1881" ht="15" customHeight="1">
      <c r="A1881" s="27">
        <v>1875</v>
      </c>
      <c r="B1881" s="27"/>
      <c r="C1881" s="27"/>
      <c r="D1881" s="27"/>
      <c r="E1881" s="27"/>
      <c r="F1881" s="27"/>
      <c r="G1881" s="27"/>
      <c r="H1881" s="27"/>
      <c r="I1881" s="27"/>
      <c r="J1881" s="27"/>
    </row>
    <row r="1882" ht="15" customHeight="1">
      <c r="A1882" s="26">
        <v>1876</v>
      </c>
      <c r="B1882" s="26"/>
      <c r="C1882" s="26"/>
      <c r="D1882" s="26"/>
      <c r="E1882" s="26"/>
      <c r="F1882" s="26"/>
      <c r="G1882" s="26"/>
      <c r="H1882" s="26"/>
      <c r="I1882" s="26"/>
      <c r="J1882" s="26"/>
    </row>
    <row r="1883" ht="15" customHeight="1">
      <c r="A1883" s="27">
        <v>1877</v>
      </c>
      <c r="B1883" s="27"/>
      <c r="C1883" s="27"/>
      <c r="D1883" s="27"/>
      <c r="E1883" s="27"/>
      <c r="F1883" s="27"/>
      <c r="G1883" s="27"/>
      <c r="H1883" s="27"/>
      <c r="I1883" s="27"/>
      <c r="J1883" s="27"/>
    </row>
    <row r="1884" ht="15" customHeight="1">
      <c r="A1884" s="26">
        <v>1878</v>
      </c>
      <c r="B1884" s="26"/>
      <c r="C1884" s="26"/>
      <c r="D1884" s="26"/>
      <c r="E1884" s="26"/>
      <c r="F1884" s="26"/>
      <c r="G1884" s="26"/>
      <c r="H1884" s="26"/>
      <c r="I1884" s="26"/>
      <c r="J1884" s="26"/>
    </row>
    <row r="1885" ht="15" customHeight="1">
      <c r="A1885" s="27">
        <v>1879</v>
      </c>
      <c r="B1885" s="27"/>
      <c r="C1885" s="27"/>
      <c r="D1885" s="27"/>
      <c r="E1885" s="27"/>
      <c r="F1885" s="27"/>
      <c r="G1885" s="27"/>
      <c r="H1885" s="27"/>
      <c r="I1885" s="27"/>
      <c r="J1885" s="27"/>
    </row>
    <row r="1886" ht="15" customHeight="1">
      <c r="A1886" s="26">
        <v>1880</v>
      </c>
      <c r="B1886" s="26"/>
      <c r="C1886" s="26"/>
      <c r="D1886" s="26"/>
      <c r="E1886" s="26"/>
      <c r="F1886" s="26"/>
      <c r="G1886" s="26"/>
      <c r="H1886" s="26"/>
      <c r="I1886" s="26"/>
      <c r="J1886" s="26"/>
    </row>
    <row r="1887" ht="15" customHeight="1">
      <c r="A1887" s="27">
        <v>1881</v>
      </c>
      <c r="B1887" s="27"/>
      <c r="C1887" s="27"/>
      <c r="D1887" s="27"/>
      <c r="E1887" s="27"/>
      <c r="F1887" s="27"/>
      <c r="G1887" s="27"/>
      <c r="H1887" s="27"/>
      <c r="I1887" s="27"/>
      <c r="J1887" s="27"/>
    </row>
    <row r="1888" ht="15" customHeight="1">
      <c r="A1888" s="26">
        <v>1882</v>
      </c>
      <c r="B1888" s="26"/>
      <c r="C1888" s="26"/>
      <c r="D1888" s="26"/>
      <c r="E1888" s="26"/>
      <c r="F1888" s="26"/>
      <c r="G1888" s="26"/>
      <c r="H1888" s="26"/>
      <c r="I1888" s="26"/>
      <c r="J1888" s="26"/>
    </row>
    <row r="1889" ht="15" customHeight="1">
      <c r="A1889" s="27">
        <v>1883</v>
      </c>
      <c r="B1889" s="27"/>
      <c r="C1889" s="27"/>
      <c r="D1889" s="27"/>
      <c r="E1889" s="27"/>
      <c r="F1889" s="27"/>
      <c r="G1889" s="27"/>
      <c r="H1889" s="27"/>
      <c r="I1889" s="27"/>
      <c r="J1889" s="27"/>
    </row>
    <row r="1890" ht="15" customHeight="1">
      <c r="A1890" s="26">
        <v>1884</v>
      </c>
      <c r="B1890" s="26"/>
      <c r="C1890" s="26"/>
      <c r="D1890" s="26"/>
      <c r="E1890" s="26"/>
      <c r="F1890" s="26"/>
      <c r="G1890" s="26"/>
      <c r="H1890" s="26"/>
      <c r="I1890" s="26"/>
      <c r="J1890" s="26"/>
    </row>
    <row r="1891" ht="15" customHeight="1">
      <c r="A1891" s="27">
        <v>1885</v>
      </c>
      <c r="B1891" s="27"/>
      <c r="C1891" s="27"/>
      <c r="D1891" s="27"/>
      <c r="E1891" s="27"/>
      <c r="F1891" s="27"/>
      <c r="G1891" s="27"/>
      <c r="H1891" s="27"/>
      <c r="I1891" s="27"/>
      <c r="J1891" s="27"/>
    </row>
    <row r="1892" ht="15" customHeight="1">
      <c r="A1892" s="26">
        <v>1886</v>
      </c>
      <c r="B1892" s="26"/>
      <c r="C1892" s="26"/>
      <c r="D1892" s="26"/>
      <c r="E1892" s="26"/>
      <c r="F1892" s="26"/>
      <c r="G1892" s="26"/>
      <c r="H1892" s="26"/>
      <c r="I1892" s="26"/>
      <c r="J1892" s="26"/>
    </row>
    <row r="1893" ht="15" customHeight="1">
      <c r="A1893" s="27">
        <v>1887</v>
      </c>
      <c r="B1893" s="27"/>
      <c r="C1893" s="27"/>
      <c r="D1893" s="27"/>
      <c r="E1893" s="27"/>
      <c r="F1893" s="27"/>
      <c r="G1893" s="27"/>
      <c r="H1893" s="27"/>
      <c r="I1893" s="27"/>
      <c r="J1893" s="27"/>
    </row>
    <row r="1894" ht="15" customHeight="1">
      <c r="A1894" s="26">
        <v>1888</v>
      </c>
      <c r="B1894" s="26"/>
      <c r="C1894" s="26"/>
      <c r="D1894" s="26"/>
      <c r="E1894" s="26"/>
      <c r="F1894" s="26"/>
      <c r="G1894" s="26"/>
      <c r="H1894" s="26"/>
      <c r="I1894" s="26"/>
      <c r="J1894" s="26"/>
    </row>
    <row r="1895" ht="15" customHeight="1">
      <c r="A1895" s="27">
        <v>1889</v>
      </c>
      <c r="B1895" s="27"/>
      <c r="C1895" s="27"/>
      <c r="D1895" s="27"/>
      <c r="E1895" s="27"/>
      <c r="F1895" s="27"/>
      <c r="G1895" s="27"/>
      <c r="H1895" s="27"/>
      <c r="I1895" s="27"/>
      <c r="J1895" s="27"/>
    </row>
    <row r="1896" ht="15" customHeight="1">
      <c r="A1896" s="26">
        <v>1890</v>
      </c>
      <c r="B1896" s="26"/>
      <c r="C1896" s="26"/>
      <c r="D1896" s="26"/>
      <c r="E1896" s="26"/>
      <c r="F1896" s="26"/>
      <c r="G1896" s="26"/>
      <c r="H1896" s="26"/>
      <c r="I1896" s="26"/>
      <c r="J1896" s="26"/>
    </row>
    <row r="1897" ht="15" customHeight="1">
      <c r="A1897" s="27">
        <v>1891</v>
      </c>
      <c r="B1897" s="27"/>
      <c r="C1897" s="27"/>
      <c r="D1897" s="27"/>
      <c r="E1897" s="27"/>
      <c r="F1897" s="27"/>
      <c r="G1897" s="27"/>
      <c r="H1897" s="27"/>
      <c r="I1897" s="27"/>
      <c r="J1897" s="27"/>
    </row>
    <row r="1898" ht="15" customHeight="1">
      <c r="A1898" s="26">
        <v>1892</v>
      </c>
      <c r="B1898" s="26"/>
      <c r="C1898" s="26"/>
      <c r="D1898" s="26"/>
      <c r="E1898" s="26"/>
      <c r="F1898" s="26"/>
      <c r="G1898" s="26"/>
      <c r="H1898" s="26"/>
      <c r="I1898" s="26"/>
      <c r="J1898" s="26"/>
    </row>
    <row r="1899" ht="15" customHeight="1">
      <c r="A1899" s="27">
        <v>1893</v>
      </c>
      <c r="B1899" s="27"/>
      <c r="C1899" s="27"/>
      <c r="D1899" s="27"/>
      <c r="E1899" s="27"/>
      <c r="F1899" s="27"/>
      <c r="G1899" s="27"/>
      <c r="H1899" s="27"/>
      <c r="I1899" s="27"/>
      <c r="J1899" s="27"/>
    </row>
    <row r="1900" ht="15" customHeight="1">
      <c r="A1900" s="26">
        <v>1894</v>
      </c>
      <c r="B1900" s="26"/>
      <c r="C1900" s="26"/>
      <c r="D1900" s="26"/>
      <c r="E1900" s="26"/>
      <c r="F1900" s="26"/>
      <c r="G1900" s="26"/>
      <c r="H1900" s="26"/>
      <c r="I1900" s="26"/>
      <c r="J1900" s="26"/>
    </row>
    <row r="1901" ht="15" customHeight="1">
      <c r="A1901" s="27">
        <v>1895</v>
      </c>
      <c r="B1901" s="27"/>
      <c r="C1901" s="27"/>
      <c r="D1901" s="27"/>
      <c r="E1901" s="27"/>
      <c r="F1901" s="27"/>
      <c r="G1901" s="27"/>
      <c r="H1901" s="27"/>
      <c r="I1901" s="27"/>
      <c r="J1901" s="27"/>
    </row>
    <row r="1902" ht="15" customHeight="1">
      <c r="A1902" s="26">
        <v>1896</v>
      </c>
      <c r="B1902" s="26"/>
      <c r="C1902" s="26"/>
      <c r="D1902" s="26"/>
      <c r="E1902" s="26"/>
      <c r="F1902" s="26"/>
      <c r="G1902" s="26"/>
      <c r="H1902" s="26"/>
      <c r="I1902" s="26"/>
      <c r="J1902" s="26"/>
    </row>
    <row r="1903" ht="15" customHeight="1">
      <c r="A1903" s="27">
        <v>1897</v>
      </c>
      <c r="B1903" s="27"/>
      <c r="C1903" s="27"/>
      <c r="D1903" s="27"/>
      <c r="E1903" s="27"/>
      <c r="F1903" s="27"/>
      <c r="G1903" s="27"/>
      <c r="H1903" s="27"/>
      <c r="I1903" s="27"/>
      <c r="J1903" s="27"/>
    </row>
    <row r="1904" ht="15" customHeight="1">
      <c r="A1904" s="26">
        <v>1898</v>
      </c>
      <c r="B1904" s="26"/>
      <c r="C1904" s="26"/>
      <c r="D1904" s="26"/>
      <c r="E1904" s="26"/>
      <c r="F1904" s="26"/>
      <c r="G1904" s="26"/>
      <c r="H1904" s="26"/>
      <c r="I1904" s="26"/>
      <c r="J1904" s="26"/>
    </row>
    <row r="1905" ht="15" customHeight="1">
      <c r="A1905" s="27">
        <v>1899</v>
      </c>
      <c r="B1905" s="27"/>
      <c r="C1905" s="27"/>
      <c r="D1905" s="27"/>
      <c r="E1905" s="27"/>
      <c r="F1905" s="27"/>
      <c r="G1905" s="27"/>
      <c r="H1905" s="27"/>
      <c r="I1905" s="27"/>
      <c r="J1905" s="27"/>
    </row>
    <row r="1906" ht="15" customHeight="1">
      <c r="A1906" s="26">
        <v>1900</v>
      </c>
      <c r="B1906" s="26"/>
      <c r="C1906" s="26"/>
      <c r="D1906" s="26"/>
      <c r="E1906" s="26"/>
      <c r="F1906" s="26"/>
      <c r="G1906" s="26"/>
      <c r="H1906" s="26"/>
      <c r="I1906" s="26"/>
      <c r="J1906" s="26"/>
    </row>
    <row r="1907" ht="15" customHeight="1">
      <c r="A1907" s="27">
        <v>1901</v>
      </c>
      <c r="B1907" s="27"/>
      <c r="C1907" s="27"/>
      <c r="D1907" s="27"/>
      <c r="E1907" s="27"/>
      <c r="F1907" s="27"/>
      <c r="G1907" s="27"/>
      <c r="H1907" s="27"/>
      <c r="I1907" s="27"/>
      <c r="J1907" s="27"/>
    </row>
    <row r="1908" ht="15" customHeight="1">
      <c r="A1908" s="26">
        <v>1902</v>
      </c>
      <c r="B1908" s="26"/>
      <c r="C1908" s="26"/>
      <c r="D1908" s="26"/>
      <c r="E1908" s="26"/>
      <c r="F1908" s="26"/>
      <c r="G1908" s="26"/>
      <c r="H1908" s="26"/>
      <c r="I1908" s="26"/>
      <c r="J1908" s="26"/>
    </row>
    <row r="1909" ht="15" customHeight="1">
      <c r="A1909" s="27">
        <v>1903</v>
      </c>
      <c r="B1909" s="27"/>
      <c r="C1909" s="27"/>
      <c r="D1909" s="27"/>
      <c r="E1909" s="27"/>
      <c r="F1909" s="27"/>
      <c r="G1909" s="27"/>
      <c r="H1909" s="27"/>
      <c r="I1909" s="27"/>
      <c r="J1909" s="27"/>
    </row>
    <row r="1910" ht="15" customHeight="1">
      <c r="A1910" s="26">
        <v>1904</v>
      </c>
      <c r="B1910" s="26"/>
      <c r="C1910" s="26"/>
      <c r="D1910" s="26"/>
      <c r="E1910" s="26"/>
      <c r="F1910" s="26"/>
      <c r="G1910" s="26"/>
      <c r="H1910" s="26"/>
      <c r="I1910" s="26"/>
      <c r="J1910" s="26"/>
    </row>
    <row r="1911" ht="15" customHeight="1">
      <c r="A1911" s="27">
        <v>1905</v>
      </c>
      <c r="B1911" s="27"/>
      <c r="C1911" s="27"/>
      <c r="D1911" s="27"/>
      <c r="E1911" s="27"/>
      <c r="F1911" s="27"/>
      <c r="G1911" s="27"/>
      <c r="H1911" s="27"/>
      <c r="I1911" s="27"/>
      <c r="J1911" s="27"/>
    </row>
    <row r="1912" ht="15" customHeight="1">
      <c r="A1912" s="26">
        <v>1906</v>
      </c>
      <c r="B1912" s="26"/>
      <c r="C1912" s="26"/>
      <c r="D1912" s="26"/>
      <c r="E1912" s="26"/>
      <c r="F1912" s="26"/>
      <c r="G1912" s="26"/>
      <c r="H1912" s="26"/>
      <c r="I1912" s="26"/>
      <c r="J1912" s="26"/>
    </row>
    <row r="1913" ht="15" customHeight="1">
      <c r="A1913" s="27">
        <v>1907</v>
      </c>
      <c r="B1913" s="27"/>
      <c r="C1913" s="27"/>
      <c r="D1913" s="27"/>
      <c r="E1913" s="27"/>
      <c r="F1913" s="27"/>
      <c r="G1913" s="27"/>
      <c r="H1913" s="27"/>
      <c r="I1913" s="27"/>
      <c r="J1913" s="27"/>
    </row>
    <row r="1914" ht="15" customHeight="1">
      <c r="A1914" s="26">
        <v>1908</v>
      </c>
      <c r="B1914" s="26"/>
      <c r="C1914" s="26"/>
      <c r="D1914" s="26"/>
      <c r="E1914" s="26"/>
      <c r="F1914" s="26"/>
      <c r="G1914" s="26"/>
      <c r="H1914" s="26"/>
      <c r="I1914" s="26"/>
      <c r="J1914" s="26"/>
    </row>
    <row r="1915" ht="15" customHeight="1">
      <c r="A1915" s="27">
        <v>1909</v>
      </c>
      <c r="B1915" s="27"/>
      <c r="C1915" s="27"/>
      <c r="D1915" s="27"/>
      <c r="E1915" s="27"/>
      <c r="F1915" s="27"/>
      <c r="G1915" s="27"/>
      <c r="H1915" s="27"/>
      <c r="I1915" s="27"/>
      <c r="J1915" s="27"/>
    </row>
    <row r="1916" ht="15" customHeight="1">
      <c r="A1916" s="26">
        <v>1910</v>
      </c>
      <c r="B1916" s="26"/>
      <c r="C1916" s="26"/>
      <c r="D1916" s="26"/>
      <c r="E1916" s="26"/>
      <c r="F1916" s="26"/>
      <c r="G1916" s="26"/>
      <c r="H1916" s="26"/>
      <c r="I1916" s="26"/>
      <c r="J1916" s="26"/>
    </row>
    <row r="1917" ht="15" customHeight="1">
      <c r="A1917" s="27">
        <v>1911</v>
      </c>
      <c r="B1917" s="27"/>
      <c r="C1917" s="27"/>
      <c r="D1917" s="27"/>
      <c r="E1917" s="27"/>
      <c r="F1917" s="27"/>
      <c r="G1917" s="27"/>
      <c r="H1917" s="27"/>
      <c r="I1917" s="27"/>
      <c r="J1917" s="27"/>
    </row>
    <row r="1918" ht="15" customHeight="1">
      <c r="A1918" s="26">
        <v>1912</v>
      </c>
      <c r="B1918" s="26"/>
      <c r="C1918" s="26"/>
      <c r="D1918" s="26"/>
      <c r="E1918" s="26"/>
      <c r="F1918" s="26"/>
      <c r="G1918" s="26"/>
      <c r="H1918" s="26"/>
      <c r="I1918" s="26"/>
      <c r="J1918" s="26"/>
    </row>
    <row r="1919" ht="15" customHeight="1">
      <c r="A1919" s="27">
        <v>1913</v>
      </c>
      <c r="B1919" s="27"/>
      <c r="C1919" s="27"/>
      <c r="D1919" s="27"/>
      <c r="E1919" s="27"/>
      <c r="F1919" s="27"/>
      <c r="G1919" s="27"/>
      <c r="H1919" s="27"/>
      <c r="I1919" s="27"/>
      <c r="J1919" s="27"/>
    </row>
    <row r="1920" ht="15" customHeight="1">
      <c r="A1920" s="26">
        <v>1914</v>
      </c>
      <c r="B1920" s="26"/>
      <c r="C1920" s="26"/>
      <c r="D1920" s="26"/>
      <c r="E1920" s="26"/>
      <c r="F1920" s="26"/>
      <c r="G1920" s="26"/>
      <c r="H1920" s="26"/>
      <c r="I1920" s="26"/>
      <c r="J1920" s="26"/>
    </row>
    <row r="1921" ht="15" customHeight="1">
      <c r="A1921" s="27">
        <v>1915</v>
      </c>
      <c r="B1921" s="27"/>
      <c r="C1921" s="27"/>
      <c r="D1921" s="27"/>
      <c r="E1921" s="27"/>
      <c r="F1921" s="27"/>
      <c r="G1921" s="27"/>
      <c r="H1921" s="27"/>
      <c r="I1921" s="27"/>
      <c r="J1921" s="27"/>
    </row>
    <row r="1922" ht="15" customHeight="1">
      <c r="A1922" s="26">
        <v>1916</v>
      </c>
      <c r="B1922" s="26"/>
      <c r="C1922" s="26"/>
      <c r="D1922" s="26"/>
      <c r="E1922" s="26"/>
      <c r="F1922" s="26"/>
      <c r="G1922" s="26"/>
      <c r="H1922" s="26"/>
      <c r="I1922" s="26"/>
      <c r="J1922" s="26"/>
    </row>
    <row r="1923" ht="15" customHeight="1">
      <c r="A1923" s="27">
        <v>1917</v>
      </c>
      <c r="B1923" s="27"/>
      <c r="C1923" s="27"/>
      <c r="D1923" s="27"/>
      <c r="E1923" s="27"/>
      <c r="F1923" s="27"/>
      <c r="G1923" s="27"/>
      <c r="H1923" s="27"/>
      <c r="I1923" s="27"/>
      <c r="J1923" s="27"/>
    </row>
    <row r="1924" ht="15" customHeight="1">
      <c r="A1924" s="26">
        <v>1918</v>
      </c>
      <c r="B1924" s="26"/>
      <c r="C1924" s="26"/>
      <c r="D1924" s="26"/>
      <c r="E1924" s="26"/>
      <c r="F1924" s="26"/>
      <c r="G1924" s="26"/>
      <c r="H1924" s="26"/>
      <c r="I1924" s="26"/>
      <c r="J1924" s="26"/>
    </row>
    <row r="1925" ht="15" customHeight="1">
      <c r="A1925" s="27">
        <v>1919</v>
      </c>
      <c r="B1925" s="27"/>
      <c r="C1925" s="27"/>
      <c r="D1925" s="27"/>
      <c r="E1925" s="27"/>
      <c r="F1925" s="27"/>
      <c r="G1925" s="27"/>
      <c r="H1925" s="27"/>
      <c r="I1925" s="27"/>
      <c r="J1925" s="27"/>
    </row>
    <row r="1926" ht="15" customHeight="1">
      <c r="A1926" s="26">
        <v>1920</v>
      </c>
      <c r="B1926" s="26"/>
      <c r="C1926" s="26"/>
      <c r="D1926" s="26"/>
      <c r="E1926" s="26"/>
      <c r="F1926" s="26"/>
      <c r="G1926" s="26"/>
      <c r="H1926" s="26"/>
      <c r="I1926" s="26"/>
      <c r="J1926" s="26"/>
    </row>
    <row r="1927" ht="15" customHeight="1">
      <c r="A1927" s="27">
        <v>1921</v>
      </c>
      <c r="B1927" s="27"/>
      <c r="C1927" s="27"/>
      <c r="D1927" s="27"/>
      <c r="E1927" s="27"/>
      <c r="F1927" s="27"/>
      <c r="G1927" s="27"/>
      <c r="H1927" s="27"/>
      <c r="I1927" s="27"/>
      <c r="J1927" s="27"/>
    </row>
    <row r="1928" ht="15" customHeight="1">
      <c r="A1928" s="26">
        <v>1922</v>
      </c>
      <c r="B1928" s="26"/>
      <c r="C1928" s="26"/>
      <c r="D1928" s="26"/>
      <c r="E1928" s="26"/>
      <c r="F1928" s="26"/>
      <c r="G1928" s="26"/>
      <c r="H1928" s="26"/>
      <c r="I1928" s="26"/>
      <c r="J1928" s="26"/>
    </row>
    <row r="1929" ht="15" customHeight="1">
      <c r="A1929" s="27">
        <v>1923</v>
      </c>
      <c r="B1929" s="27"/>
      <c r="C1929" s="27"/>
      <c r="D1929" s="27"/>
      <c r="E1929" s="27"/>
      <c r="F1929" s="27"/>
      <c r="G1929" s="27"/>
      <c r="H1929" s="27"/>
      <c r="I1929" s="27"/>
      <c r="J1929" s="27"/>
    </row>
    <row r="1930" ht="15" customHeight="1">
      <c r="A1930" s="26">
        <v>1924</v>
      </c>
      <c r="B1930" s="26"/>
      <c r="C1930" s="26"/>
      <c r="D1930" s="26"/>
      <c r="E1930" s="26"/>
      <c r="F1930" s="26"/>
      <c r="G1930" s="26"/>
      <c r="H1930" s="26"/>
      <c r="I1930" s="26"/>
      <c r="J1930" s="26"/>
    </row>
    <row r="1931" ht="15" customHeight="1">
      <c r="A1931" s="27">
        <v>1925</v>
      </c>
      <c r="B1931" s="27"/>
      <c r="C1931" s="27"/>
      <c r="D1931" s="27"/>
      <c r="E1931" s="27"/>
      <c r="F1931" s="27"/>
      <c r="G1931" s="27"/>
      <c r="H1931" s="27"/>
      <c r="I1931" s="27"/>
      <c r="J1931" s="27"/>
    </row>
    <row r="1932" ht="15" customHeight="1">
      <c r="A1932" s="26">
        <v>1926</v>
      </c>
      <c r="B1932" s="26"/>
      <c r="C1932" s="26"/>
      <c r="D1932" s="26"/>
      <c r="E1932" s="26"/>
      <c r="F1932" s="26"/>
      <c r="G1932" s="26"/>
      <c r="H1932" s="26"/>
      <c r="I1932" s="26"/>
      <c r="J1932" s="26"/>
    </row>
    <row r="1933" ht="15" customHeight="1">
      <c r="A1933" s="27">
        <v>1927</v>
      </c>
      <c r="B1933" s="27"/>
      <c r="C1933" s="27"/>
      <c r="D1933" s="27"/>
      <c r="E1933" s="27"/>
      <c r="F1933" s="27"/>
      <c r="G1933" s="27"/>
      <c r="H1933" s="27"/>
      <c r="I1933" s="27"/>
      <c r="J1933" s="27"/>
    </row>
    <row r="1934" ht="15" customHeight="1">
      <c r="A1934" s="26">
        <v>1928</v>
      </c>
      <c r="B1934" s="26"/>
      <c r="C1934" s="26"/>
      <c r="D1934" s="26"/>
      <c r="E1934" s="26"/>
      <c r="F1934" s="26"/>
      <c r="G1934" s="26"/>
      <c r="H1934" s="26"/>
      <c r="I1934" s="26"/>
      <c r="J1934" s="26"/>
    </row>
    <row r="1935" ht="15" customHeight="1">
      <c r="A1935" s="27">
        <v>1929</v>
      </c>
      <c r="B1935" s="27"/>
      <c r="C1935" s="27"/>
      <c r="D1935" s="27"/>
      <c r="E1935" s="27"/>
      <c r="F1935" s="27"/>
      <c r="G1935" s="27"/>
      <c r="H1935" s="27"/>
      <c r="I1935" s="27"/>
      <c r="J1935" s="27"/>
    </row>
    <row r="1936" ht="15" customHeight="1">
      <c r="A1936" s="26">
        <v>1930</v>
      </c>
      <c r="B1936" s="26"/>
      <c r="C1936" s="26"/>
      <c r="D1936" s="26"/>
      <c r="E1936" s="26"/>
      <c r="F1936" s="26"/>
      <c r="G1936" s="26"/>
      <c r="H1936" s="26"/>
      <c r="I1936" s="26"/>
      <c r="J1936" s="26"/>
    </row>
    <row r="1937" ht="15" customHeight="1">
      <c r="A1937" s="27">
        <v>1931</v>
      </c>
      <c r="B1937" s="27"/>
      <c r="C1937" s="27"/>
      <c r="D1937" s="27"/>
      <c r="E1937" s="27"/>
      <c r="F1937" s="27"/>
      <c r="G1937" s="27"/>
      <c r="H1937" s="27"/>
      <c r="I1937" s="27"/>
      <c r="J1937" s="27"/>
    </row>
    <row r="1938" ht="15" customHeight="1">
      <c r="A1938" s="26">
        <v>1932</v>
      </c>
      <c r="B1938" s="26"/>
      <c r="C1938" s="26"/>
      <c r="D1938" s="26"/>
      <c r="E1938" s="26"/>
      <c r="F1938" s="26"/>
      <c r="G1938" s="26"/>
      <c r="H1938" s="26"/>
      <c r="I1938" s="26"/>
      <c r="J1938" s="26"/>
    </row>
    <row r="1939" ht="15" customHeight="1">
      <c r="A1939" s="27">
        <v>1933</v>
      </c>
      <c r="B1939" s="27"/>
      <c r="C1939" s="27"/>
      <c r="D1939" s="27"/>
      <c r="E1939" s="27"/>
      <c r="F1939" s="27"/>
      <c r="G1939" s="27"/>
      <c r="H1939" s="27"/>
      <c r="I1939" s="27"/>
      <c r="J1939" s="27"/>
    </row>
    <row r="1940" ht="15" customHeight="1">
      <c r="A1940" s="26">
        <v>1934</v>
      </c>
      <c r="B1940" s="26"/>
      <c r="C1940" s="26"/>
      <c r="D1940" s="26"/>
      <c r="E1940" s="26"/>
      <c r="F1940" s="26"/>
      <c r="G1940" s="26"/>
      <c r="H1940" s="26"/>
      <c r="I1940" s="26"/>
      <c r="J1940" s="26"/>
    </row>
    <row r="1941" ht="15" customHeight="1">
      <c r="A1941" s="27">
        <v>1935</v>
      </c>
      <c r="B1941" s="27"/>
      <c r="C1941" s="27"/>
      <c r="D1941" s="27"/>
      <c r="E1941" s="27"/>
      <c r="F1941" s="27"/>
      <c r="G1941" s="27"/>
      <c r="H1941" s="27"/>
      <c r="I1941" s="27"/>
      <c r="J1941" s="27"/>
    </row>
    <row r="1942" ht="15" customHeight="1">
      <c r="A1942" s="26">
        <v>1936</v>
      </c>
      <c r="B1942" s="26"/>
      <c r="C1942" s="26"/>
      <c r="D1942" s="26"/>
      <c r="E1942" s="26"/>
      <c r="F1942" s="26"/>
      <c r="G1942" s="26"/>
      <c r="H1942" s="26"/>
      <c r="I1942" s="26"/>
      <c r="J1942" s="26"/>
    </row>
    <row r="1943" ht="15" customHeight="1">
      <c r="A1943" s="27">
        <v>1937</v>
      </c>
      <c r="B1943" s="27"/>
      <c r="C1943" s="27"/>
      <c r="D1943" s="27"/>
      <c r="E1943" s="27"/>
      <c r="F1943" s="27"/>
      <c r="G1943" s="27"/>
      <c r="H1943" s="27"/>
      <c r="I1943" s="27"/>
      <c r="J1943" s="27"/>
    </row>
    <row r="1944" ht="15" customHeight="1">
      <c r="A1944" s="26">
        <v>1938</v>
      </c>
      <c r="B1944" s="26"/>
      <c r="C1944" s="26"/>
      <c r="D1944" s="26"/>
      <c r="E1944" s="26"/>
      <c r="F1944" s="26"/>
      <c r="G1944" s="26"/>
      <c r="H1944" s="26"/>
      <c r="I1944" s="26"/>
      <c r="J1944" s="26"/>
    </row>
    <row r="1945" ht="15" customHeight="1">
      <c r="A1945" s="27">
        <v>1939</v>
      </c>
      <c r="B1945" s="27"/>
      <c r="C1945" s="27"/>
      <c r="D1945" s="27"/>
      <c r="E1945" s="27"/>
      <c r="F1945" s="27"/>
      <c r="G1945" s="27"/>
      <c r="H1945" s="27"/>
      <c r="I1945" s="27"/>
      <c r="J1945" s="27"/>
    </row>
    <row r="1946" ht="15" customHeight="1">
      <c r="A1946" s="26">
        <v>1940</v>
      </c>
      <c r="B1946" s="26"/>
      <c r="C1946" s="26"/>
      <c r="D1946" s="26"/>
      <c r="E1946" s="26"/>
      <c r="F1946" s="26"/>
      <c r="G1946" s="26"/>
      <c r="H1946" s="26"/>
      <c r="I1946" s="26"/>
      <c r="J1946" s="26"/>
    </row>
    <row r="1947" ht="15" customHeight="1">
      <c r="A1947" s="27">
        <v>1941</v>
      </c>
      <c r="B1947" s="27"/>
      <c r="C1947" s="27"/>
      <c r="D1947" s="27"/>
      <c r="E1947" s="27"/>
      <c r="F1947" s="27"/>
      <c r="G1947" s="27"/>
      <c r="H1947" s="27"/>
      <c r="I1947" s="27"/>
      <c r="J1947" s="27"/>
    </row>
    <row r="1948" ht="15" customHeight="1">
      <c r="A1948" s="26">
        <v>1942</v>
      </c>
      <c r="B1948" s="26"/>
      <c r="C1948" s="26"/>
      <c r="D1948" s="26"/>
      <c r="E1948" s="26"/>
      <c r="F1948" s="26"/>
      <c r="G1948" s="26"/>
      <c r="H1948" s="26"/>
      <c r="I1948" s="26"/>
      <c r="J1948" s="26"/>
    </row>
    <row r="1949" ht="15" customHeight="1">
      <c r="A1949" s="27">
        <v>1943</v>
      </c>
      <c r="B1949" s="27"/>
      <c r="C1949" s="27"/>
      <c r="D1949" s="27"/>
      <c r="E1949" s="27"/>
      <c r="F1949" s="27"/>
      <c r="G1949" s="27"/>
      <c r="H1949" s="27"/>
      <c r="I1949" s="27"/>
      <c r="J1949" s="27"/>
    </row>
    <row r="1950" ht="15" customHeight="1">
      <c r="A1950" s="26">
        <v>1944</v>
      </c>
      <c r="B1950" s="26"/>
      <c r="C1950" s="26"/>
      <c r="D1950" s="26"/>
      <c r="E1950" s="26"/>
      <c r="F1950" s="26"/>
      <c r="G1950" s="26"/>
      <c r="H1950" s="26"/>
      <c r="I1950" s="26"/>
      <c r="J1950" s="26"/>
    </row>
    <row r="1951" ht="15" customHeight="1">
      <c r="A1951" s="27">
        <v>1945</v>
      </c>
      <c r="B1951" s="27"/>
      <c r="C1951" s="27"/>
      <c r="D1951" s="27"/>
      <c r="E1951" s="27"/>
      <c r="F1951" s="27"/>
      <c r="G1951" s="27"/>
      <c r="H1951" s="27"/>
      <c r="I1951" s="27"/>
      <c r="J1951" s="27"/>
    </row>
    <row r="1952" ht="15" customHeight="1">
      <c r="A1952" s="26">
        <v>1946</v>
      </c>
      <c r="B1952" s="26"/>
      <c r="C1952" s="26"/>
      <c r="D1952" s="26"/>
      <c r="E1952" s="26"/>
      <c r="F1952" s="26"/>
      <c r="G1952" s="26"/>
      <c r="H1952" s="26"/>
      <c r="I1952" s="26"/>
      <c r="J1952" s="26"/>
    </row>
    <row r="1953" ht="15" customHeight="1">
      <c r="A1953" s="27">
        <v>1947</v>
      </c>
      <c r="B1953" s="27"/>
      <c r="C1953" s="27"/>
      <c r="D1953" s="27"/>
      <c r="E1953" s="27"/>
      <c r="F1953" s="27"/>
      <c r="G1953" s="27"/>
      <c r="H1953" s="27"/>
      <c r="I1953" s="27"/>
      <c r="J1953" s="27"/>
    </row>
    <row r="1954" ht="15" customHeight="1">
      <c r="A1954" s="26">
        <v>1948</v>
      </c>
      <c r="B1954" s="26"/>
      <c r="C1954" s="26"/>
      <c r="D1954" s="26"/>
      <c r="E1954" s="26"/>
      <c r="F1954" s="26"/>
      <c r="G1954" s="26"/>
      <c r="H1954" s="26"/>
      <c r="I1954" s="26"/>
      <c r="J1954" s="26"/>
    </row>
    <row r="1955" ht="15" customHeight="1">
      <c r="A1955" s="27">
        <v>1949</v>
      </c>
      <c r="B1955" s="27"/>
      <c r="C1955" s="27"/>
      <c r="D1955" s="27"/>
      <c r="E1955" s="27"/>
      <c r="F1955" s="27"/>
      <c r="G1955" s="27"/>
      <c r="H1955" s="27"/>
      <c r="I1955" s="27"/>
      <c r="J1955" s="27"/>
    </row>
    <row r="1956" ht="15" customHeight="1">
      <c r="A1956" s="26">
        <v>1950</v>
      </c>
      <c r="B1956" s="26"/>
      <c r="C1956" s="26"/>
      <c r="D1956" s="26"/>
      <c r="E1956" s="26"/>
      <c r="F1956" s="26"/>
      <c r="G1956" s="26"/>
      <c r="H1956" s="26"/>
      <c r="I1956" s="26"/>
      <c r="J1956" s="26"/>
    </row>
    <row r="1957" ht="15" customHeight="1">
      <c r="A1957" s="27">
        <v>1951</v>
      </c>
      <c r="B1957" s="27"/>
      <c r="C1957" s="27"/>
      <c r="D1957" s="27"/>
      <c r="E1957" s="27"/>
      <c r="F1957" s="27"/>
      <c r="G1957" s="27"/>
      <c r="H1957" s="27"/>
      <c r="I1957" s="27"/>
      <c r="J1957" s="27"/>
    </row>
    <row r="1958" ht="15" customHeight="1">
      <c r="A1958" s="26">
        <v>1952</v>
      </c>
      <c r="B1958" s="26"/>
      <c r="C1958" s="26"/>
      <c r="D1958" s="26"/>
      <c r="E1958" s="26"/>
      <c r="F1958" s="26"/>
      <c r="G1958" s="26"/>
      <c r="H1958" s="26"/>
      <c r="I1958" s="26"/>
      <c r="J1958" s="26"/>
    </row>
    <row r="1959" ht="15" customHeight="1">
      <c r="A1959" s="27">
        <v>1953</v>
      </c>
      <c r="B1959" s="27"/>
      <c r="C1959" s="27"/>
      <c r="D1959" s="27"/>
      <c r="E1959" s="27"/>
      <c r="F1959" s="27"/>
      <c r="G1959" s="27"/>
      <c r="H1959" s="27"/>
      <c r="I1959" s="27"/>
      <c r="J1959" s="27"/>
    </row>
    <row r="1960" ht="15" customHeight="1">
      <c r="A1960" s="26">
        <v>1954</v>
      </c>
      <c r="B1960" s="26"/>
      <c r="C1960" s="26"/>
      <c r="D1960" s="26"/>
      <c r="E1960" s="26"/>
      <c r="F1960" s="26"/>
      <c r="G1960" s="26"/>
      <c r="H1960" s="26"/>
      <c r="I1960" s="26"/>
      <c r="J1960" s="26"/>
    </row>
    <row r="1961" ht="15" customHeight="1">
      <c r="A1961" s="27">
        <v>1955</v>
      </c>
      <c r="B1961" s="27"/>
      <c r="C1961" s="27"/>
      <c r="D1961" s="27"/>
      <c r="E1961" s="27"/>
      <c r="F1961" s="27"/>
      <c r="G1961" s="27"/>
      <c r="H1961" s="27"/>
      <c r="I1961" s="27"/>
      <c r="J1961" s="27"/>
    </row>
    <row r="1962" ht="15" customHeight="1">
      <c r="A1962" s="26">
        <v>1956</v>
      </c>
      <c r="B1962" s="26"/>
      <c r="C1962" s="26"/>
      <c r="D1962" s="26"/>
      <c r="E1962" s="26"/>
      <c r="F1962" s="26"/>
      <c r="G1962" s="26"/>
      <c r="H1962" s="26"/>
      <c r="I1962" s="26"/>
      <c r="J1962" s="26"/>
    </row>
    <row r="1963" ht="15" customHeight="1">
      <c r="A1963" s="27">
        <v>1957</v>
      </c>
      <c r="B1963" s="27"/>
      <c r="C1963" s="27"/>
      <c r="D1963" s="27"/>
      <c r="E1963" s="27"/>
      <c r="F1963" s="27"/>
      <c r="G1963" s="27"/>
      <c r="H1963" s="27"/>
      <c r="I1963" s="27"/>
      <c r="J1963" s="27"/>
    </row>
    <row r="1964" ht="15" customHeight="1">
      <c r="A1964" s="26">
        <v>1958</v>
      </c>
      <c r="B1964" s="26"/>
      <c r="C1964" s="26"/>
      <c r="D1964" s="26"/>
      <c r="E1964" s="26"/>
      <c r="F1964" s="26"/>
      <c r="G1964" s="26"/>
      <c r="H1964" s="26"/>
      <c r="I1964" s="26"/>
      <c r="J1964" s="26"/>
    </row>
    <row r="1965" ht="15" customHeight="1">
      <c r="A1965" s="27">
        <v>1959</v>
      </c>
      <c r="B1965" s="27"/>
      <c r="C1965" s="27"/>
      <c r="D1965" s="27"/>
      <c r="E1965" s="27"/>
      <c r="F1965" s="27"/>
      <c r="G1965" s="27"/>
      <c r="H1965" s="27"/>
      <c r="I1965" s="27"/>
      <c r="J1965" s="27"/>
    </row>
    <row r="1966" ht="15" customHeight="1">
      <c r="A1966" s="26">
        <v>1960</v>
      </c>
      <c r="B1966" s="26"/>
      <c r="C1966" s="26"/>
      <c r="D1966" s="26"/>
      <c r="E1966" s="26"/>
      <c r="F1966" s="26"/>
      <c r="G1966" s="26"/>
      <c r="H1966" s="26"/>
      <c r="I1966" s="26"/>
      <c r="J1966" s="26"/>
    </row>
    <row r="1967" ht="15" customHeight="1">
      <c r="A1967" s="27">
        <v>1961</v>
      </c>
      <c r="B1967" s="27"/>
      <c r="C1967" s="27"/>
      <c r="D1967" s="27"/>
      <c r="E1967" s="27"/>
      <c r="F1967" s="27"/>
      <c r="G1967" s="27"/>
      <c r="H1967" s="27"/>
      <c r="I1967" s="27"/>
      <c r="J1967" s="27"/>
    </row>
    <row r="1968" ht="15" customHeight="1">
      <c r="A1968" s="26">
        <v>1962</v>
      </c>
      <c r="B1968" s="26"/>
      <c r="C1968" s="26"/>
      <c r="D1968" s="26"/>
      <c r="E1968" s="26"/>
      <c r="F1968" s="26"/>
      <c r="G1968" s="26"/>
      <c r="H1968" s="26"/>
      <c r="I1968" s="26"/>
      <c r="J1968" s="26"/>
    </row>
    <row r="1969" ht="15" customHeight="1">
      <c r="A1969" s="27">
        <v>1963</v>
      </c>
      <c r="B1969" s="27"/>
      <c r="C1969" s="27"/>
      <c r="D1969" s="27"/>
      <c r="E1969" s="27"/>
      <c r="F1969" s="27"/>
      <c r="G1969" s="27"/>
      <c r="H1969" s="27"/>
      <c r="I1969" s="27"/>
      <c r="J1969" s="27"/>
    </row>
    <row r="1970" ht="15" customHeight="1">
      <c r="A1970" s="26">
        <v>1964</v>
      </c>
      <c r="B1970" s="26"/>
      <c r="C1970" s="26"/>
      <c r="D1970" s="26"/>
      <c r="E1970" s="26"/>
      <c r="F1970" s="26"/>
      <c r="G1970" s="26"/>
      <c r="H1970" s="26"/>
      <c r="I1970" s="26"/>
      <c r="J1970" s="26"/>
    </row>
    <row r="1971" ht="15" customHeight="1">
      <c r="A1971" s="27">
        <v>1965</v>
      </c>
      <c r="B1971" s="27"/>
      <c r="C1971" s="27"/>
      <c r="D1971" s="27"/>
      <c r="E1971" s="27"/>
      <c r="F1971" s="27"/>
      <c r="G1971" s="27"/>
      <c r="H1971" s="27"/>
      <c r="I1971" s="27"/>
      <c r="J1971" s="27"/>
    </row>
    <row r="1972" ht="15" customHeight="1">
      <c r="A1972" s="26">
        <v>1966</v>
      </c>
      <c r="B1972" s="26"/>
      <c r="C1972" s="26"/>
      <c r="D1972" s="26"/>
      <c r="E1972" s="26"/>
      <c r="F1972" s="26"/>
      <c r="G1972" s="26"/>
      <c r="H1972" s="26"/>
      <c r="I1972" s="26"/>
      <c r="J1972" s="26"/>
    </row>
    <row r="1973" ht="15" customHeight="1">
      <c r="A1973" s="27">
        <v>1967</v>
      </c>
      <c r="B1973" s="27"/>
      <c r="C1973" s="27"/>
      <c r="D1973" s="27"/>
      <c r="E1973" s="27"/>
      <c r="F1973" s="27"/>
      <c r="G1973" s="27"/>
      <c r="H1973" s="27"/>
      <c r="I1973" s="27"/>
      <c r="J1973" s="27"/>
    </row>
    <row r="1974" ht="15" customHeight="1">
      <c r="A1974" s="26">
        <v>1968</v>
      </c>
      <c r="B1974" s="26"/>
      <c r="C1974" s="26"/>
      <c r="D1974" s="26"/>
      <c r="E1974" s="26"/>
      <c r="F1974" s="26"/>
      <c r="G1974" s="26"/>
      <c r="H1974" s="26"/>
      <c r="I1974" s="26"/>
      <c r="J1974" s="26"/>
    </row>
    <row r="1975" ht="15" customHeight="1">
      <c r="A1975" s="27">
        <v>1969</v>
      </c>
      <c r="B1975" s="27"/>
      <c r="C1975" s="27"/>
      <c r="D1975" s="27"/>
      <c r="E1975" s="27"/>
      <c r="F1975" s="27"/>
      <c r="G1975" s="27"/>
      <c r="H1975" s="27"/>
      <c r="I1975" s="27"/>
      <c r="J1975" s="27"/>
    </row>
    <row r="1976" ht="15" customHeight="1">
      <c r="A1976" s="26">
        <v>1970</v>
      </c>
      <c r="B1976" s="26"/>
      <c r="C1976" s="26"/>
      <c r="D1976" s="26"/>
      <c r="E1976" s="26"/>
      <c r="F1976" s="26"/>
      <c r="G1976" s="26"/>
      <c r="H1976" s="26"/>
      <c r="I1976" s="26"/>
      <c r="J1976" s="26"/>
    </row>
    <row r="1977" ht="15" customHeight="1">
      <c r="A1977" s="27">
        <v>1971</v>
      </c>
      <c r="B1977" s="27"/>
      <c r="C1977" s="27"/>
      <c r="D1977" s="27"/>
      <c r="E1977" s="27"/>
      <c r="F1977" s="27"/>
      <c r="G1977" s="27"/>
      <c r="H1977" s="27"/>
      <c r="I1977" s="27"/>
      <c r="J1977" s="27"/>
    </row>
    <row r="1978" ht="15" customHeight="1">
      <c r="A1978" s="26">
        <v>1972</v>
      </c>
      <c r="B1978" s="26"/>
      <c r="C1978" s="26"/>
      <c r="D1978" s="26"/>
      <c r="E1978" s="26"/>
      <c r="F1978" s="26"/>
      <c r="G1978" s="26"/>
      <c r="H1978" s="26"/>
      <c r="I1978" s="26"/>
      <c r="J1978" s="26"/>
    </row>
    <row r="1979" ht="15" customHeight="1">
      <c r="A1979" s="27">
        <v>1973</v>
      </c>
      <c r="B1979" s="27"/>
      <c r="C1979" s="27"/>
      <c r="D1979" s="27"/>
      <c r="E1979" s="27"/>
      <c r="F1979" s="27"/>
      <c r="G1979" s="27"/>
      <c r="H1979" s="27"/>
      <c r="I1979" s="27"/>
      <c r="J1979" s="27"/>
    </row>
    <row r="1980" ht="15" customHeight="1">
      <c r="A1980" s="26">
        <v>1974</v>
      </c>
      <c r="B1980" s="26"/>
      <c r="C1980" s="26"/>
      <c r="D1980" s="26"/>
      <c r="E1980" s="26"/>
      <c r="F1980" s="26"/>
      <c r="G1980" s="26"/>
      <c r="H1980" s="26"/>
      <c r="I1980" s="26"/>
      <c r="J1980" s="26"/>
    </row>
    <row r="1981" ht="15" customHeight="1">
      <c r="A1981" s="27">
        <v>1975</v>
      </c>
      <c r="B1981" s="27"/>
      <c r="C1981" s="27"/>
      <c r="D1981" s="27"/>
      <c r="E1981" s="27"/>
      <c r="F1981" s="27"/>
      <c r="G1981" s="27"/>
      <c r="H1981" s="27"/>
      <c r="I1981" s="27"/>
      <c r="J1981" s="27"/>
    </row>
    <row r="1982" ht="15" customHeight="1">
      <c r="A1982" s="26">
        <v>1976</v>
      </c>
      <c r="B1982" s="26"/>
      <c r="C1982" s="26"/>
      <c r="D1982" s="26"/>
      <c r="E1982" s="26"/>
      <c r="F1982" s="26"/>
      <c r="G1982" s="26"/>
      <c r="H1982" s="26"/>
      <c r="I1982" s="26"/>
      <c r="J1982" s="26"/>
    </row>
    <row r="1983" ht="15" customHeight="1">
      <c r="A1983" s="27">
        <v>1977</v>
      </c>
      <c r="B1983" s="27"/>
      <c r="C1983" s="27"/>
      <c r="D1983" s="27"/>
      <c r="E1983" s="27"/>
      <c r="F1983" s="27"/>
      <c r="G1983" s="27"/>
      <c r="H1983" s="27"/>
      <c r="I1983" s="27"/>
      <c r="J1983" s="27"/>
    </row>
    <row r="1984" ht="15" customHeight="1">
      <c r="A1984" s="26">
        <v>1978</v>
      </c>
      <c r="B1984" s="26"/>
      <c r="C1984" s="26"/>
      <c r="D1984" s="26"/>
      <c r="E1984" s="26"/>
      <c r="F1984" s="26"/>
      <c r="G1984" s="26"/>
      <c r="H1984" s="26"/>
      <c r="I1984" s="26"/>
      <c r="J1984" s="26"/>
    </row>
    <row r="1985" ht="15" customHeight="1">
      <c r="A1985" s="27">
        <v>1979</v>
      </c>
      <c r="B1985" s="27"/>
      <c r="C1985" s="27"/>
      <c r="D1985" s="27"/>
      <c r="E1985" s="27"/>
      <c r="F1985" s="27"/>
      <c r="G1985" s="27"/>
      <c r="H1985" s="27"/>
      <c r="I1985" s="27"/>
      <c r="J1985" s="27"/>
    </row>
    <row r="1986" ht="15" customHeight="1">
      <c r="A1986" s="26">
        <v>1980</v>
      </c>
      <c r="B1986" s="26"/>
      <c r="C1986" s="26"/>
      <c r="D1986" s="26"/>
      <c r="E1986" s="26"/>
      <c r="F1986" s="26"/>
      <c r="G1986" s="26"/>
      <c r="H1986" s="26"/>
      <c r="I1986" s="26"/>
      <c r="J1986" s="26"/>
    </row>
    <row r="1987" ht="15" customHeight="1">
      <c r="A1987" s="27">
        <v>1981</v>
      </c>
      <c r="B1987" s="27"/>
      <c r="C1987" s="27"/>
      <c r="D1987" s="27"/>
      <c r="E1987" s="27"/>
      <c r="F1987" s="27"/>
      <c r="G1987" s="27"/>
      <c r="H1987" s="27"/>
      <c r="I1987" s="27"/>
      <c r="J1987" s="27"/>
    </row>
    <row r="1988" ht="15" customHeight="1">
      <c r="A1988" s="26">
        <v>1982</v>
      </c>
      <c r="B1988" s="26"/>
      <c r="C1988" s="26"/>
      <c r="D1988" s="26"/>
      <c r="E1988" s="26"/>
      <c r="F1988" s="26"/>
      <c r="G1988" s="26"/>
      <c r="H1988" s="26"/>
      <c r="I1988" s="26"/>
      <c r="J1988" s="26"/>
    </row>
    <row r="1989" ht="15" customHeight="1">
      <c r="A1989" s="27">
        <v>1983</v>
      </c>
      <c r="B1989" s="27"/>
      <c r="C1989" s="27"/>
      <c r="D1989" s="27"/>
      <c r="E1989" s="27"/>
      <c r="F1989" s="27"/>
      <c r="G1989" s="27"/>
      <c r="H1989" s="27"/>
      <c r="I1989" s="27"/>
      <c r="J1989" s="27"/>
    </row>
    <row r="1990" ht="15" customHeight="1">
      <c r="A1990" s="26">
        <v>1984</v>
      </c>
      <c r="B1990" s="26"/>
      <c r="C1990" s="26"/>
      <c r="D1990" s="26"/>
      <c r="E1990" s="26"/>
      <c r="F1990" s="26"/>
      <c r="G1990" s="26"/>
      <c r="H1990" s="26"/>
      <c r="I1990" s="26"/>
      <c r="J1990" s="26"/>
    </row>
    <row r="1991" ht="15" customHeight="1">
      <c r="A1991" s="27">
        <v>1985</v>
      </c>
      <c r="B1991" s="27"/>
      <c r="C1991" s="27"/>
      <c r="D1991" s="27"/>
      <c r="E1991" s="27"/>
      <c r="F1991" s="27"/>
      <c r="G1991" s="27"/>
      <c r="H1991" s="27"/>
      <c r="I1991" s="27"/>
      <c r="J1991" s="27"/>
    </row>
    <row r="1992" ht="15" customHeight="1">
      <c r="A1992" s="26">
        <v>1986</v>
      </c>
      <c r="B1992" s="26"/>
      <c r="C1992" s="26"/>
      <c r="D1992" s="26"/>
      <c r="E1992" s="26"/>
      <c r="F1992" s="26"/>
      <c r="G1992" s="26"/>
      <c r="H1992" s="26"/>
      <c r="I1992" s="26"/>
      <c r="J1992" s="26"/>
    </row>
    <row r="1993" ht="15" customHeight="1">
      <c r="A1993" s="27">
        <v>1987</v>
      </c>
      <c r="B1993" s="27"/>
      <c r="C1993" s="27"/>
      <c r="D1993" s="27"/>
      <c r="E1993" s="27"/>
      <c r="F1993" s="27"/>
      <c r="G1993" s="27"/>
      <c r="H1993" s="27"/>
      <c r="I1993" s="27"/>
      <c r="J1993" s="27"/>
    </row>
    <row r="1994" ht="15" customHeight="1">
      <c r="A1994" s="26">
        <v>1988</v>
      </c>
      <c r="B1994" s="26"/>
      <c r="C1994" s="26"/>
      <c r="D1994" s="26"/>
      <c r="E1994" s="26"/>
      <c r="F1994" s="26"/>
      <c r="G1994" s="26"/>
      <c r="H1994" s="26"/>
      <c r="I1994" s="26"/>
      <c r="J1994" s="26"/>
    </row>
    <row r="1995" ht="15" customHeight="1">
      <c r="A1995" s="27">
        <v>1989</v>
      </c>
      <c r="B1995" s="27"/>
      <c r="C1995" s="27"/>
      <c r="D1995" s="27"/>
      <c r="E1995" s="27"/>
      <c r="F1995" s="27"/>
      <c r="G1995" s="27"/>
      <c r="H1995" s="27"/>
      <c r="I1995" s="27"/>
      <c r="J1995" s="27"/>
    </row>
    <row r="1996" ht="15" customHeight="1">
      <c r="A1996" s="26">
        <v>1990</v>
      </c>
      <c r="B1996" s="26"/>
      <c r="C1996" s="26"/>
      <c r="D1996" s="26"/>
      <c r="E1996" s="26"/>
      <c r="F1996" s="26"/>
      <c r="G1996" s="26"/>
      <c r="H1996" s="26"/>
      <c r="I1996" s="26"/>
      <c r="J1996" s="26"/>
    </row>
    <row r="1997" ht="15" customHeight="1">
      <c r="A1997" s="27">
        <v>1991</v>
      </c>
      <c r="B1997" s="27"/>
      <c r="C1997" s="27"/>
      <c r="D1997" s="27"/>
      <c r="E1997" s="27"/>
      <c r="F1997" s="27"/>
      <c r="G1997" s="27"/>
      <c r="H1997" s="27"/>
      <c r="I1997" s="27"/>
      <c r="J1997" s="27"/>
    </row>
    <row r="1998" ht="15" customHeight="1">
      <c r="A1998" s="26">
        <v>1992</v>
      </c>
      <c r="B1998" s="26"/>
      <c r="C1998" s="26"/>
      <c r="D1998" s="26"/>
      <c r="E1998" s="26"/>
      <c r="F1998" s="26"/>
      <c r="G1998" s="26"/>
      <c r="H1998" s="26"/>
      <c r="I1998" s="26"/>
      <c r="J1998" s="26"/>
    </row>
    <row r="1999" ht="15" customHeight="1">
      <c r="A1999" s="27">
        <v>1993</v>
      </c>
      <c r="B1999" s="27"/>
      <c r="C1999" s="27"/>
      <c r="D1999" s="27"/>
      <c r="E1999" s="27"/>
      <c r="F1999" s="27"/>
      <c r="G1999" s="27"/>
      <c r="H1999" s="27"/>
      <c r="I1999" s="27"/>
      <c r="J1999" s="27"/>
    </row>
    <row r="2000" ht="15" customHeight="1">
      <c r="A2000" s="26">
        <v>1994</v>
      </c>
      <c r="B2000" s="26"/>
      <c r="C2000" s="26"/>
      <c r="D2000" s="26"/>
      <c r="E2000" s="26"/>
      <c r="F2000" s="26"/>
      <c r="G2000" s="26"/>
      <c r="H2000" s="26"/>
      <c r="I2000" s="26"/>
      <c r="J2000" s="26"/>
    </row>
    <row r="2001" ht="15" customHeight="1">
      <c r="A2001" s="27">
        <v>1995</v>
      </c>
      <c r="B2001" s="27"/>
      <c r="C2001" s="27"/>
      <c r="D2001" s="27"/>
      <c r="E2001" s="27"/>
      <c r="F2001" s="27"/>
      <c r="G2001" s="27"/>
      <c r="H2001" s="27"/>
      <c r="I2001" s="27"/>
      <c r="J2001" s="27"/>
    </row>
    <row r="2002" ht="15" customHeight="1">
      <c r="A2002" s="26">
        <v>1996</v>
      </c>
      <c r="B2002" s="26"/>
      <c r="C2002" s="26"/>
      <c r="D2002" s="26"/>
      <c r="E2002" s="26"/>
      <c r="F2002" s="26"/>
      <c r="G2002" s="26"/>
      <c r="H2002" s="26"/>
      <c r="I2002" s="26"/>
      <c r="J2002" s="26"/>
    </row>
    <row r="2003" ht="15" customHeight="1">
      <c r="A2003" s="27">
        <v>1997</v>
      </c>
      <c r="B2003" s="27"/>
      <c r="C2003" s="27"/>
      <c r="D2003" s="27"/>
      <c r="E2003" s="27"/>
      <c r="F2003" s="27"/>
      <c r="G2003" s="27"/>
      <c r="H2003" s="27"/>
      <c r="I2003" s="27"/>
      <c r="J2003" s="27"/>
    </row>
    <row r="2004" ht="15" customHeight="1">
      <c r="A2004" s="26">
        <v>1998</v>
      </c>
      <c r="B2004" s="26"/>
      <c r="C2004" s="26"/>
      <c r="D2004" s="26"/>
      <c r="E2004" s="26"/>
      <c r="F2004" s="26"/>
      <c r="G2004" s="26"/>
      <c r="H2004" s="26"/>
      <c r="I2004" s="26"/>
      <c r="J2004" s="26"/>
    </row>
    <row r="2005" ht="15" customHeight="1">
      <c r="A2005" s="27">
        <v>1999</v>
      </c>
      <c r="B2005" s="27"/>
      <c r="C2005" s="27"/>
      <c r="D2005" s="27"/>
      <c r="E2005" s="27"/>
      <c r="F2005" s="27"/>
      <c r="G2005" s="27"/>
      <c r="H2005" s="27"/>
      <c r="I2005" s="27"/>
      <c r="J2005" s="27"/>
    </row>
    <row r="2006" ht="15" customHeight="1">
      <c r="A2006" s="26">
        <v>2000</v>
      </c>
      <c r="B2006" s="26"/>
      <c r="C2006" s="26"/>
      <c r="D2006" s="26"/>
      <c r="E2006" s="26"/>
      <c r="F2006" s="26"/>
      <c r="G2006" s="26"/>
      <c r="H2006" s="26"/>
      <c r="I2006" s="26"/>
      <c r="J2006" s="26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B02B0B8-3718-6228-782D-A7721808E673}" mc:Ignorable="x14ac xr xr2 xr3">
  <dimension ref="A1:M1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30.00390625" customWidth="1"/>
    <col min="2" max="2" width="14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>
      <c r="A2" s="6" t="s">
        <v>130</v>
      </c>
      <c r="B2" s="6" t="s">
        <v>55</v>
      </c>
    </row>
    <row r="3" ht="15" customHeight="1">
      <c r="A3" s="7" t="s">
        <v>131</v>
      </c>
      <c r="B3" s="28">
        <v>2684117.5252</v>
      </c>
    </row>
    <row r="4" ht="15" customHeight="1">
      <c r="A4" s="8" t="s">
        <v>132</v>
      </c>
      <c r="B4" s="29">
        <v>2615246.315</v>
      </c>
    </row>
    <row r="5" ht="15" customHeight="1">
      <c r="A5" s="7" t="s">
        <v>133</v>
      </c>
      <c r="B5" s="28">
        <v>1333977.028</v>
      </c>
    </row>
    <row r="6" ht="15" customHeight="1">
      <c r="A6" s="8" t="s">
        <v>134</v>
      </c>
      <c r="B6" s="29">
        <v>4086282.141</v>
      </c>
    </row>
    <row r="7" ht="15" customHeight="1">
      <c r="A7" s="7" t="s">
        <v>135</v>
      </c>
      <c r="B7" s="30">
        <v>1</v>
      </c>
    </row>
    <row r="8" ht="15" customHeight="1">
      <c r="A8" s="8" t="s">
        <v>136</v>
      </c>
      <c r="B8" s="31">
        <v>1</v>
      </c>
    </row>
    <row r="9" ht="15" customHeight="1">
      <c r="A9" s="7" t="s">
        <v>137</v>
      </c>
      <c r="B9" s="30">
        <v>0.5942</v>
      </c>
    </row>
    <row r="10" ht="15" customHeight="1">
      <c r="A10" s="8" t="s">
        <v>138</v>
      </c>
      <c r="B10" s="31">
        <v>0.8879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drawing r:id="rId2"/>
  <tableParts count="1">
    <tablePart r:id="rId1"/>
  </tableParts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1609598-01DF-DD55-0AEB-456602779738}" mc:Ignorable="x14ac xr xr2 xr3">
  <dimension ref="A1:C12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8.00390625" customWidth="1"/>
    <col min="2" max="3" width="42.00390625" customWidth="1"/>
  </cols>
  <sheetData>
    <row r="1" ht="15" customHeight="1">
      <c r="A1" s="1"/>
      <c r="B1" s="1"/>
      <c r="C1" s="1"/>
    </row>
    <row r="2" ht="15" customHeight="1">
      <c r="A2" s="6" t="s">
        <v>139</v>
      </c>
      <c r="B2" s="6" t="s">
        <v>140</v>
      </c>
      <c r="C2" s="6" t="s">
        <v>141</v>
      </c>
    </row>
    <row r="3" ht="15" customHeight="1">
      <c r="A3" s="7" t="s">
        <v>142</v>
      </c>
      <c r="B3" s="7" t="s">
        <v>143</v>
      </c>
      <c r="C3" s="7" t="s">
        <v>144</v>
      </c>
    </row>
    <row r="4" ht="15" customHeight="1">
      <c r="A4" s="8" t="s">
        <v>142</v>
      </c>
      <c r="B4" s="8" t="s">
        <v>145</v>
      </c>
      <c r="C4" s="8" t="s">
        <v>146</v>
      </c>
    </row>
    <row r="5" ht="15" customHeight="1">
      <c r="A5" s="7" t="s">
        <v>142</v>
      </c>
      <c r="B5" s="7" t="s">
        <v>147</v>
      </c>
      <c r="C5" s="7" t="s">
        <v>148</v>
      </c>
    </row>
    <row r="6" ht="15" customHeight="1">
      <c r="A6" s="8" t="s">
        <v>142</v>
      </c>
      <c r="B6" s="8" t="s">
        <v>149</v>
      </c>
      <c r="C6" s="8" t="s">
        <v>150</v>
      </c>
    </row>
    <row r="7" ht="15" customHeight="1">
      <c r="A7" s="7" t="s">
        <v>151</v>
      </c>
      <c r="B7" s="7" t="s">
        <v>152</v>
      </c>
      <c r="C7" s="7" t="s">
        <v>153</v>
      </c>
    </row>
    <row r="8" ht="15" customHeight="1">
      <c r="A8" s="8" t="s">
        <v>151</v>
      </c>
      <c r="B8" s="8" t="s">
        <v>154</v>
      </c>
      <c r="C8" s="8" t="s">
        <v>155</v>
      </c>
    </row>
    <row r="9" ht="15" customHeight="1">
      <c r="A9" s="7" t="s">
        <v>151</v>
      </c>
      <c r="B9" s="7" t="s">
        <v>156</v>
      </c>
      <c r="C9" s="7" t="s">
        <v>157</v>
      </c>
    </row>
    <row r="10" ht="15" customHeight="1">
      <c r="A10" s="8" t="s">
        <v>151</v>
      </c>
      <c r="B10" s="8" t="s">
        <v>158</v>
      </c>
      <c r="C10" s="8" t="s">
        <v>159</v>
      </c>
    </row>
    <row r="11" ht="15" customHeight="1">
      <c r="A11" s="7" t="s">
        <v>160</v>
      </c>
      <c r="B11" s="7" t="s">
        <v>161</v>
      </c>
      <c r="C11" s="7" t="s">
        <v>162</v>
      </c>
    </row>
    <row r="12" ht="15" customHeight="1">
      <c r="A12" s="8" t="s">
        <v>160</v>
      </c>
      <c r="B12" s="8" t="s">
        <v>163</v>
      </c>
      <c r="C12" s="8" t="s">
        <v>164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748C12-A398-2A18-EC8F-DFCFDD5AE524}" mc:Ignorable="x14ac xr xr2 xr3">
  <dimension ref="A1:O18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7.00390625" customWidth="1"/>
    <col min="2" max="3" width="20.00390625" customWidth="1"/>
    <col min="4" max="4" width="29.00390625" customWidth="1"/>
    <col min="5" max="5" width="2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" customHeight="1">
      <c r="A2" s="33" t="s">
        <v>21</v>
      </c>
      <c r="B2" s="33" t="s">
        <v>26</v>
      </c>
      <c r="C2" s="33" t="s">
        <v>27</v>
      </c>
      <c r="D2" s="33" t="s">
        <v>35</v>
      </c>
      <c r="E2" s="33" t="s">
        <v>33</v>
      </c>
    </row>
    <row r="3" ht="15" customHeight="1">
      <c r="A3" t="s">
        <v>36</v>
      </c>
      <c r="B3">
        <v>353358366.34</v>
      </c>
      <c r="C3">
        <v>434873998.0133333</v>
      </c>
      <c r="D3">
        <v>492805.6125</v>
      </c>
      <c r="E3">
        <v>0.6238333333333334</v>
      </c>
    </row>
    <row r="4" ht="15" customHeight="1">
      <c r="A4" t="s">
        <v>45</v>
      </c>
      <c r="B4">
        <v>339865793.6925</v>
      </c>
      <c r="C4">
        <v>429365613.8333333</v>
      </c>
      <c r="D4">
        <v>492627.3799999999</v>
      </c>
      <c r="E4">
        <v>0.6268583333333333</v>
      </c>
    </row>
    <row r="5" ht="15" customHeight="1">
      <c r="A5" t="s">
        <v>51</v>
      </c>
      <c r="B5">
        <v>324211183.3</v>
      </c>
      <c r="C5">
        <v>336623576.5466667</v>
      </c>
      <c r="D5">
        <v>52241.8725</v>
      </c>
      <c r="E5">
        <v>0.6490416666666666</v>
      </c>
    </row>
    <row r="6" ht="15" customHeight="1">
      <c r="A6" t="s">
        <v>41</v>
      </c>
      <c r="B6">
        <v>491349827.0483333</v>
      </c>
      <c r="C6">
        <v>337886804.8316666</v>
      </c>
      <c r="D6">
        <v>-219225.2566666667</v>
      </c>
      <c r="E6">
        <v>0.4979416666666667</v>
      </c>
    </row>
    <row r="7" ht="15" customHeight="1">
      <c r="A7" t="s">
        <v>39</v>
      </c>
      <c r="B7">
        <v>218465894.76</v>
      </c>
      <c r="C7">
        <v>205127141.7191667</v>
      </c>
      <c r="D7">
        <v>-332344.675</v>
      </c>
      <c r="E7">
        <v>0.5944333333333333</v>
      </c>
    </row>
    <row r="8" ht="15" customHeight="1">
      <c r="A8" t="s">
        <v>43</v>
      </c>
      <c r="B8">
        <v>404400725.5833333</v>
      </c>
      <c r="C8">
        <v>203527707.7616667</v>
      </c>
      <c r="D8">
        <v>-543921.8991666667</v>
      </c>
      <c r="E8">
        <v>0.7148416666666666</v>
      </c>
    </row>
    <row r="9" ht="15" customHeight="1">
      <c r="A9" t="s">
        <v>47</v>
      </c>
      <c r="B9">
        <v>310488579.2116666</v>
      </c>
      <c r="C9">
        <v>140175600.165</v>
      </c>
      <c r="D9">
        <v>-761070.6891666666</v>
      </c>
      <c r="E9">
        <v>0.754625</v>
      </c>
    </row>
    <row r="10" ht="15" customHeight="1">
      <c r="A10" t="s">
        <v>49</v>
      </c>
      <c r="B10">
        <v>508025864.8125</v>
      </c>
      <c r="C10">
        <v>225041212.2883333</v>
      </c>
      <c r="D10">
        <v>-828619.1241666666</v>
      </c>
      <c r="E10">
        <v>0.64785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drawing r:id="rId2"/>
  <tableParts count="1">
    <tablePart r:id="rId1"/>
  </tableParts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6A196E5-91A8-44D6-FA46-FF4AF0E50C38}" mc:Ignorable="x14ac xr xr2 xr3">
  <dimension ref="A1:C13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width="22.00390625" customWidth="1"/>
    <col min="2" max="2" width="46.00390625" customWidth="1"/>
    <col min="3" max="3" width="70.00390625" customWidth="1"/>
  </cols>
  <sheetData>
    <row r="1" ht="15" customHeight="1">
      <c r="A1" s="1"/>
      <c r="B1" s="1"/>
      <c r="C1" s="1"/>
    </row>
    <row r="2" ht="15" customHeight="1">
      <c r="A2" s="20" t="s">
        <v>165</v>
      </c>
    </row>
    <row r="3" ht="15" customHeight="1">
      <c r="A3" s="21" t="s">
        <v>166</v>
      </c>
    </row>
    <row r="5" ht="15" customHeight="1">
      <c r="A5" s="24" t="s">
        <v>167</v>
      </c>
      <c r="B5" s="24" t="s">
        <v>168</v>
      </c>
      <c r="C5" s="24" t="s">
        <v>169</v>
      </c>
    </row>
    <row r="6" ht="15" customHeight="1">
      <c r="A6" s="36" t="s">
        <v>170</v>
      </c>
      <c r="B6" s="37" t="s">
        <v>171</v>
      </c>
      <c r="C6" s="37" t="s">
        <v>172</v>
      </c>
    </row>
    <row r="7" ht="15" customHeight="1">
      <c r="A7" s="34" t="s">
        <v>173</v>
      </c>
      <c r="B7" s="38" t="s">
        <v>174</v>
      </c>
      <c r="C7" s="38" t="s">
        <v>175</v>
      </c>
    </row>
    <row r="8" ht="15" customHeight="1">
      <c r="A8" s="36" t="s">
        <v>176</v>
      </c>
      <c r="B8" s="37" t="s">
        <v>177</v>
      </c>
      <c r="C8" s="37" t="s">
        <v>178</v>
      </c>
    </row>
    <row r="9" ht="15" customHeight="1">
      <c r="A9" s="34" t="s">
        <v>179</v>
      </c>
      <c r="B9" s="38" t="s">
        <v>180</v>
      </c>
      <c r="C9" s="38" t="s">
        <v>181</v>
      </c>
    </row>
    <row r="10" ht="15" customHeight="1">
      <c r="A10" s="36" t="s">
        <v>182</v>
      </c>
      <c r="B10" s="37" t="s">
        <v>183</v>
      </c>
      <c r="C10" s="37" t="s">
        <v>184</v>
      </c>
    </row>
    <row r="11" ht="15" customHeight="1">
      <c r="A11" s="34" t="s">
        <v>185</v>
      </c>
      <c r="B11" s="38" t="s">
        <v>186</v>
      </c>
      <c r="C11" s="38" t="s">
        <v>187</v>
      </c>
    </row>
    <row r="12" ht="15" customHeight="1">
      <c r="A12" s="36" t="s">
        <v>188</v>
      </c>
      <c r="B12" s="37" t="s">
        <v>189</v>
      </c>
      <c r="C12" s="37" t="s">
        <v>190</v>
      </c>
    </row>
    <row r="13" ht="15" customHeight="1">
      <c r="A13" s="34" t="s">
        <v>191</v>
      </c>
      <c r="B13" s="38" t="s">
        <v>192</v>
      </c>
      <c r="C13" s="38" t="s">
        <v>193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2026-05-19T12:59:45Z</dcterms:created>
  <dcterms:modified xsi:type="dcterms:W3CDTF">2026-05-19T13:22:54Z</dcterms:modified>
</cp:coreProperties>
</file>